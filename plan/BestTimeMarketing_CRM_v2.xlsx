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DATA ENTRY" sheetId="2" state="visible" r:id="rId4"/>
    <sheet name="INSTALMENTS" sheetId="3" state="visible" r:id="rId5"/>
    <sheet name="PAYMENT SCHEDULE" sheetId="4" state="visible" r:id="rId6"/>
    <sheet name="CLIENT COPY" sheetId="5" state="visible" r:id="rId7"/>
    <sheet name="📊 DASHBOAR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<sst xmlns="http://schemas.openxmlformats.org/spreadsheetml/2006/main" count="208" uniqueCount="174">
  <si>
    <t xml:space="preserve">⚙  BEST TIME MARKETING — SETTINGS &amp; MASTER LISTS</t>
  </si>
  <si>
    <t xml:space="preserve">📁 PROJECTS LIST</t>
  </si>
  <si>
    <t xml:space="preserve">📋 DROPDOWN LISTS</t>
  </si>
  <si>
    <t xml:space="preserve">Project Code</t>
  </si>
  <si>
    <t xml:space="preserve">Project Name</t>
  </si>
  <si>
    <t xml:space="preserve">Location</t>
  </si>
  <si>
    <t xml:space="preserve">Total Units</t>
  </si>
  <si>
    <t xml:space="preserve">REGISTRY STATUS</t>
  </si>
  <si>
    <t xml:space="preserve">Done</t>
  </si>
  <si>
    <t xml:space="preserve">Not Done</t>
  </si>
  <si>
    <t xml:space="preserve">Late</t>
  </si>
  <si>
    <t xml:space="preserve">GRE</t>
  </si>
  <si>
    <t xml:space="preserve">Green Valley</t>
  </si>
  <si>
    <t xml:space="preserve">Lahore</t>
  </si>
  <si>
    <t xml:space="preserve">FBR STATUS</t>
  </si>
  <si>
    <t xml:space="preserve">Paid</t>
  </si>
  <si>
    <t xml:space="preserve">Pending</t>
  </si>
  <si>
    <t xml:space="preserve">Exempt</t>
  </si>
  <si>
    <t xml:space="preserve">N/A</t>
  </si>
  <si>
    <t xml:space="preserve">SKY</t>
  </si>
  <si>
    <t xml:space="preserve">Sky Heights</t>
  </si>
  <si>
    <t xml:space="preserve">Islamabad</t>
  </si>
  <si>
    <t xml:space="preserve">PAYMENT TYPE</t>
  </si>
  <si>
    <t xml:space="preserve">Cash</t>
  </si>
  <si>
    <t xml:space="preserve">Installment</t>
  </si>
  <si>
    <t xml:space="preserve">SUN</t>
  </si>
  <si>
    <t xml:space="preserve">Sunrise City</t>
  </si>
  <si>
    <t xml:space="preserve">Karachi</t>
  </si>
  <si>
    <t xml:space="preserve">RES/COMM</t>
  </si>
  <si>
    <t xml:space="preserve">Residential</t>
  </si>
  <si>
    <t xml:space="preserve">Commercial</t>
  </si>
  <si>
    <t xml:space="preserve">BTM</t>
  </si>
  <si>
    <t xml:space="preserve">BTM Residencia</t>
  </si>
  <si>
    <t xml:space="preserve">Rawalpindi</t>
  </si>
  <si>
    <t xml:space="preserve">BUBBLE OPTION</t>
  </si>
  <si>
    <t xml:space="preserve">Pay After 6 Months</t>
  </si>
  <si>
    <t xml:space="preserve">Adjust in Plan</t>
  </si>
  <si>
    <t xml:space="preserve">Waived</t>
  </si>
  <si>
    <t xml:space="preserve">ELI</t>
  </si>
  <si>
    <t xml:space="preserve">Elite Gardens</t>
  </si>
  <si>
    <t xml:space="preserve">Faisalabad</t>
  </si>
  <si>
    <t xml:space="preserve">RELATION</t>
  </si>
  <si>
    <t xml:space="preserve">Son</t>
  </si>
  <si>
    <t xml:space="preserve">Daughter</t>
  </si>
  <si>
    <t xml:space="preserve">Spouse</t>
  </si>
  <si>
    <t xml:space="preserve">Father</t>
  </si>
  <si>
    <t xml:space="preserve">Mother</t>
  </si>
  <si>
    <t xml:space="preserve">Brother</t>
  </si>
  <si>
    <t xml:space="preserve">Sister</t>
  </si>
  <si>
    <t xml:space="preserve">Other</t>
  </si>
  <si>
    <t xml:space="preserve">👤 SALESMEN LIST</t>
  </si>
  <si>
    <t xml:space="preserve">Salesman Name</t>
  </si>
  <si>
    <t xml:space="preserve">Fixed Salary</t>
  </si>
  <si>
    <t xml:space="preserve">Commission/Deal</t>
  </si>
  <si>
    <t xml:space="preserve">Ahmed Raza</t>
  </si>
  <si>
    <t xml:space="preserve">Bilal Shah</t>
  </si>
  <si>
    <t xml:space="preserve">Usman Iqbal</t>
  </si>
  <si>
    <t xml:space="preserve">🏢  BEST TIME MARKETING — CLIENT DATA ENTRY SHEET  |  Data Entry Operators: Fill BLUE cells only</t>
  </si>
  <si>
    <t xml:space="preserve">📋</t>
  </si>
  <si>
    <t xml:space="preserve">🆔 AUTO ID</t>
  </si>
  <si>
    <t xml:space="preserve">🏗 PLOT / DEAL DETAILS</t>
  </si>
  <si>
    <t xml:space="preserve">💰 PAYMENT PLAN</t>
  </si>
  <si>
    <t xml:space="preserve">👤 APPLICANT INFO</t>
  </si>
  <si>
    <t xml:space="preserve">🪪 NOMINEE 1</t>
  </si>
  <si>
    <t xml:space="preserve">🪪 NOMINEE 2</t>
  </si>
  <si>
    <t xml:space="preserve">🤝 DEALER</t>
  </si>
  <si>
    <t xml:space="preserve">💼 SALESMAN</t>
  </si>
  <si>
    <t xml:space="preserve">📜 REGISTRY</t>
  </si>
  <si>
    <t xml:space="preserve">🏛 FBR TAX</t>
  </si>
  <si>
    <t xml:space="preserve">📅 META</t>
  </si>
  <si>
    <t xml:space="preserve">Row #</t>
  </si>
  <si>
    <t xml:space="preserve">Unique Deal ID</t>
  </si>
  <si>
    <t xml:space="preserve">Project</t>
  </si>
  <si>
    <t xml:space="preserve">Dare / Block</t>
  </si>
  <si>
    <t xml:space="preserve">Plot No.</t>
  </si>
  <si>
    <t xml:space="preserve">Size (Marla)</t>
  </si>
  <si>
    <t xml:space="preserve">Res / Comm</t>
  </si>
  <si>
    <t xml:space="preserve">Payment Type</t>
  </si>
  <si>
    <t xml:space="preserve">Per Marla Rate (PKR)</t>
  </si>
  <si>
    <t xml:space="preserve">Total Amount (PKR)</t>
  </si>
  <si>
    <t xml:space="preserve">Token/Advance (PKR)</t>
  </si>
  <si>
    <t xml:space="preserve">Installment Months</t>
  </si>
  <si>
    <t xml:space="preserve">Monthly Instalment (PKR)</t>
  </si>
  <si>
    <t xml:space="preserve">Bubble Payment (PKR)</t>
  </si>
  <si>
    <t xml:space="preserve">Bubble Option</t>
  </si>
  <si>
    <t xml:space="preserve">Total Paid (PKR)</t>
  </si>
  <si>
    <t xml:space="preserve">Balance (PKR)</t>
  </si>
  <si>
    <t xml:space="preserve">Payment Status</t>
  </si>
  <si>
    <t xml:space="preserve">Applicant Name</t>
  </si>
  <si>
    <t xml:space="preserve">Father's Name</t>
  </si>
  <si>
    <t xml:space="preserve">Address</t>
  </si>
  <si>
    <t xml:space="preserve">CNIC No.</t>
  </si>
  <si>
    <t xml:space="preserve">Mobile No.</t>
  </si>
  <si>
    <t xml:space="preserve">Nominee Name</t>
  </si>
  <si>
    <t xml:space="preserve">Relation</t>
  </si>
  <si>
    <t xml:space="preserve">Nom. Father Name</t>
  </si>
  <si>
    <t xml:space="preserve">Nominee CNIC</t>
  </si>
  <si>
    <t xml:space="preserve">Nominee Mobile</t>
  </si>
  <si>
    <t xml:space="preserve">Nominee Share %</t>
  </si>
  <si>
    <t xml:space="preserve">Nominee 2 Name</t>
  </si>
  <si>
    <t xml:space="preserve">Nom2 Relation</t>
  </si>
  <si>
    <t xml:space="preserve">Nom2 CNIC</t>
  </si>
  <si>
    <t xml:space="preserve">Nom2 Share %</t>
  </si>
  <si>
    <t xml:space="preserve">Dealer Name</t>
  </si>
  <si>
    <t xml:space="preserve">Dealer Mobile</t>
  </si>
  <si>
    <t xml:space="preserve">Agency Name</t>
  </si>
  <si>
    <t xml:space="preserve">Commission (PKR)</t>
  </si>
  <si>
    <t xml:space="preserve">Salesman Commission (PKR)</t>
  </si>
  <si>
    <t xml:space="preserve">Registry Status</t>
  </si>
  <si>
    <t xml:space="preserve">Registry Date</t>
  </si>
  <si>
    <t xml:space="preserve">Registry Remarks</t>
  </si>
  <si>
    <t xml:space="preserve">Seller FBR</t>
  </si>
  <si>
    <t xml:space="preserve">Buyer FBR</t>
  </si>
  <si>
    <t xml:space="preserve">FBR Token/Ref</t>
  </si>
  <si>
    <t xml:space="preserve">Booking Date</t>
  </si>
  <si>
    <t xml:space="preserve">Operator Name</t>
  </si>
  <si>
    <t xml:space="preserve">Remarks</t>
  </si>
  <si>
    <t xml:space="preserve">💰  INSTALMENTS TRACKER — Enter Deal ID in col C to auto-fill client info. Log each payment received.</t>
  </si>
  <si>
    <t xml:space="preserve">Inst. #</t>
  </si>
  <si>
    <t xml:space="preserve">Month</t>
  </si>
  <si>
    <t xml:space="preserve">Deal ID</t>
  </si>
  <si>
    <t xml:space="preserve">Due Date</t>
  </si>
  <si>
    <t xml:space="preserve">Amount Due (PKR)</t>
  </si>
  <si>
    <t xml:space="preserve">Amount Paid(PKR)</t>
  </si>
  <si>
    <t xml:space="preserve">Payment Date</t>
  </si>
  <si>
    <t xml:space="preserve">Shortfall (PKR)</t>
  </si>
  <si>
    <t xml:space="preserve">Status</t>
  </si>
  <si>
    <t xml:space="preserve">📅  PAYMENT SCHEDULE GENERATOR — Type a Deal ID in B4 to auto-generate full schedule</t>
  </si>
  <si>
    <t xml:space="preserve">Client Name</t>
  </si>
  <si>
    <t xml:space="preserve">Total Price</t>
  </si>
  <si>
    <t xml:space="preserve">Advance</t>
  </si>
  <si>
    <t xml:space="preserve">Monthly Inst.</t>
  </si>
  <si>
    <t xml:space="preserve">Bubble Payment</t>
  </si>
  <si>
    <t xml:space="preserve">Total Months</t>
  </si>
  <si>
    <t xml:space="preserve">#</t>
  </si>
  <si>
    <t xml:space="preserve">Type</t>
  </si>
  <si>
    <t xml:space="preserve">Description</t>
  </si>
  <si>
    <t xml:space="preserve">Amount Paid (PKR)</t>
  </si>
  <si>
    <t xml:space="preserve">Notes</t>
  </si>
  <si>
    <t xml:space="preserve">Token / Advance</t>
  </si>
  <si>
    <t xml:space="preserve">🏢  BEST TIME MARKETING
OFFICIAL BOOKING CONFIRMATION</t>
  </si>
  <si>
    <t xml:space="preserve">Enter Deal ID in cell C4 → entire form auto-fills</t>
  </si>
  <si>
    <t xml:space="preserve">Deal ID:</t>
  </si>
  <si>
    <t xml:space="preserve">PLOT DETAILS</t>
  </si>
  <si>
    <t xml:space="preserve">Size</t>
  </si>
  <si>
    <t xml:space="preserve">Type (Res/Comm)</t>
  </si>
  <si>
    <t xml:space="preserve">APPLICANT</t>
  </si>
  <si>
    <t xml:space="preserve">PAYMENT PLAN</t>
  </si>
  <si>
    <t xml:space="preserve">Token / Advance (PKR)</t>
  </si>
  <si>
    <t xml:space="preserve">Monthly Instalment</t>
  </si>
  <si>
    <t xml:space="preserve">No. of Months</t>
  </si>
  <si>
    <t xml:space="preserve">NOMINEE</t>
  </si>
  <si>
    <t xml:space="preserve">REGISTRY</t>
  </si>
  <si>
    <t xml:space="preserve">Authorised Signature: ________________________</t>
  </si>
  <si>
    <t xml:space="preserve">Applicant Signature: ________________________</t>
  </si>
  <si>
    <t xml:space="preserve">This is an officially generated document by Best Time Marketing. For queries: 0300-XXXXXXX</t>
  </si>
  <si>
    <t xml:space="preserve">📊  BEST TIME MARKETING — MANAGEMENT DASHBOARD</t>
  </si>
  <si>
    <t xml:space="preserve">TOTAL DEALS</t>
  </si>
  <si>
    <t xml:space="preserve">TOTAL REVENUE (PKR)</t>
  </si>
  <si>
    <t xml:space="preserve">TOTAL RECEIVED (PKR)</t>
  </si>
  <si>
    <t xml:space="preserve">BALANCE DUE (PKR)</t>
  </si>
  <si>
    <t xml:space="preserve">OVERDUE CLIENTS</t>
  </si>
  <si>
    <t xml:space="preserve">COMPLETED DEALS</t>
  </si>
  <si>
    <t xml:space="preserve">ACTIVE DEALS</t>
  </si>
  <si>
    <t xml:space="preserve">REGISTRY PENDING</t>
  </si>
  <si>
    <t xml:space="preserve">📁 PROJECT-WISE SUMMARY</t>
  </si>
  <si>
    <t xml:space="preserve">🔴 OVERDUE ALERTS (Top 10)</t>
  </si>
  <si>
    <t xml:space="preserve">Total Deals</t>
  </si>
  <si>
    <t xml:space="preserve">Revenue (PKR)</t>
  </si>
  <si>
    <t xml:space="preserve">Received (PKR)</t>
  </si>
  <si>
    <t xml:space="preserve">Overdue Count</t>
  </si>
  <si>
    <t xml:space="preserve">Client</t>
  </si>
  <si>
    <t xml:space="preserve">Balance</t>
  </si>
  <si>
    <t xml:space="preserve">Overdue Since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</si>
</sst>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dd\-mmm\-yyyy"/>
    <numFmt numFmtId="167" formatCode="General"/>
    <numFmt numFmtId="168" formatCode="&quot;As of: &quot;dd\-mmm\-yyyy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006400"/>
      <name val="Arial"/>
      <family val="0"/>
      <charset val="1"/>
    </font>
    <font>
      <sz val="10"/>
      <color rgb="FF4A4A4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7D4F0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4"/>
      <color rgb="FF0064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B3A6B"/>
        <bgColor rgb="FF37474F"/>
      </patternFill>
    </fill>
    <fill>
      <patternFill patternType="solid">
        <fgColor rgb="FFC9A84C"/>
        <bgColor rgb="FF99CC00"/>
      </patternFill>
    </fill>
    <fill>
      <patternFill patternType="solid">
        <fgColor rgb="FF2E7D32"/>
        <bgColor rgb="FF006400"/>
      </patternFill>
    </fill>
    <fill>
      <patternFill patternType="solid">
        <fgColor rgb="FFE65100"/>
        <bgColor rgb="FFC0392B"/>
      </patternFill>
    </fill>
    <fill>
      <patternFill patternType="solid">
        <fgColor rgb="FFAD1457"/>
        <bgColor rgb="FF993366"/>
      </patternFill>
    </fill>
    <fill>
      <patternFill patternType="solid">
        <fgColor rgb="FF4A4A4A"/>
        <bgColor rgb="FF37474F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  <fill>
      <patternFill patternType="solid">
        <fgColor rgb="FF37474F"/>
        <bgColor rgb="FF4A4A4A"/>
      </patternFill>
    </fill>
    <fill>
      <patternFill patternType="solid">
        <fgColor rgb="FFD9F0D3"/>
        <bgColor rgb="FFD9E8F5"/>
      </patternFill>
    </fill>
    <fill>
      <patternFill patternType="solid">
        <fgColor rgb="FFD9E8F5"/>
        <bgColor rgb="FFD9F0D3"/>
      </patternFill>
    </fill>
    <fill>
      <patternFill patternType="solid">
        <fgColor rgb="FFFFF3CD"/>
        <bgColor rgb="FFFDEBD0"/>
      </patternFill>
    </fill>
    <fill>
      <patternFill patternType="solid">
        <fgColor rgb="FFFDEBD0"/>
        <bgColor rgb="FFFFF3CD"/>
      </patternFill>
    </fill>
    <fill>
      <patternFill patternType="solid">
        <fgColor rgb="FFFFE0E0"/>
        <bgColor rgb="FFFDEBD0"/>
      </patternFill>
    </fill>
    <fill>
      <patternFill patternType="solid">
        <fgColor rgb="FFF5F5F5"/>
        <bgColor rgb="FFFFFFFF"/>
      </patternFill>
    </fill>
    <fill>
      <patternFill patternType="solid">
        <fgColor rgb="FFFFFFFF"/>
        <bgColor rgb="FFF5F5F5"/>
      </patternFill>
    </fill>
    <fill>
      <patternFill patternType="solid">
        <fgColor rgb="FFC0392B"/>
        <bgColor rgb="FF99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7D4F00"/>
      <rgbColor rgb="FF6A1B9A"/>
      <rgbColor rgb="FF008080"/>
      <rgbColor rgb="FFCCCCCC"/>
      <rgbColor rgb="FF808080"/>
      <rgbColor rgb="FF9999FF"/>
      <rgbColor rgb="FFAD1457"/>
      <rgbColor rgb="FFFFF3CD"/>
      <rgbColor rgb="FFD9E8F5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F0D3"/>
      <rgbColor rgb="FFFDEBD0"/>
      <rgbColor rgb="FF99CCFF"/>
      <rgbColor rgb="FFFF99CC"/>
      <rgbColor rgb="FFCC99FF"/>
      <rgbColor rgb="FFFFE0E0"/>
      <rgbColor rgb="FF3366FF"/>
      <rgbColor rgb="FF33CCCC"/>
      <rgbColor rgb="FF99CC00"/>
      <rgbColor rgb="FFFFCC00"/>
      <rgbColor rgb="FFC9A84C"/>
      <rgbColor rgb="FFE65100"/>
      <rgbColor rgb="FF666699"/>
      <rgbColor rgb="FF888888"/>
      <rgbColor rgb="FF1B3A6B"/>
      <rgbColor rgb="FF2E7D32"/>
      <rgbColor rgb="FF003300"/>
      <rgbColor rgb="FF4A4A4A"/>
      <rgbColor rgb="FFC0392B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O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4" min="3" style="0" width="22"/>
    <col collapsed="false" customWidth="true" hidden="false" outlineLevel="0" max="6" min="5" style="0" width="20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</row>
    <row r="3" customFormat="false" ht="32.8" hidden="false" customHeight="false" outlineLevel="0" collapsed="false">
      <c r="B3" s="2" t="s">
        <v>1</v>
      </c>
      <c r="C3" s="2"/>
      <c r="D3" s="2"/>
      <c r="E3" s="2"/>
      <c r="G3" s="3" t="s">
        <v>2</v>
      </c>
    </row>
    <row r="4" customFormat="false" ht="15" hidden="false" customHeight="false" outlineLevel="0" collapsed="false">
      <c r="B4" s="4" t="s">
        <v>3</v>
      </c>
      <c r="C4" s="4" t="s">
        <v>4</v>
      </c>
      <c r="D4" s="4" t="s">
        <v>5</v>
      </c>
      <c r="E4" s="4" t="s">
        <v>6</v>
      </c>
      <c r="G4" s="5" t="s">
        <v>7</v>
      </c>
      <c r="H4" s="6" t="s">
        <v>8</v>
      </c>
      <c r="I4" s="6" t="s">
        <v>9</v>
      </c>
      <c r="J4" s="6" t="s">
        <v>10</v>
      </c>
    </row>
    <row r="5" customFormat="false" ht="15" hidden="false" customHeight="false" outlineLevel="0" collapsed="false">
      <c r="B5" s="7" t="s">
        <v>11</v>
      </c>
      <c r="C5" s="7" t="s">
        <v>12</v>
      </c>
      <c r="D5" s="7" t="s">
        <v>13</v>
      </c>
      <c r="E5" s="7" t="n">
        <v>200</v>
      </c>
      <c r="G5" s="5" t="s">
        <v>14</v>
      </c>
      <c r="H5" s="6" t="s">
        <v>15</v>
      </c>
      <c r="I5" s="6" t="s">
        <v>16</v>
      </c>
      <c r="J5" s="6" t="s">
        <v>17</v>
      </c>
      <c r="K5" s="6" t="s">
        <v>18</v>
      </c>
    </row>
    <row r="6" customFormat="false" ht="15" hidden="false" customHeight="false" outlineLevel="0" collapsed="false">
      <c r="B6" s="7" t="s">
        <v>19</v>
      </c>
      <c r="C6" s="7" t="s">
        <v>20</v>
      </c>
      <c r="D6" s="7" t="s">
        <v>21</v>
      </c>
      <c r="E6" s="7" t="n">
        <v>150</v>
      </c>
      <c r="G6" s="5" t="s">
        <v>22</v>
      </c>
      <c r="H6" s="6" t="s">
        <v>23</v>
      </c>
      <c r="I6" s="6" t="s">
        <v>24</v>
      </c>
    </row>
    <row r="7" customFormat="false" ht="15" hidden="false" customHeight="false" outlineLevel="0" collapsed="false">
      <c r="B7" s="7" t="s">
        <v>25</v>
      </c>
      <c r="C7" s="7" t="s">
        <v>26</v>
      </c>
      <c r="D7" s="7" t="s">
        <v>27</v>
      </c>
      <c r="E7" s="7" t="n">
        <v>300</v>
      </c>
      <c r="G7" s="5" t="s">
        <v>28</v>
      </c>
      <c r="H7" s="6" t="s">
        <v>29</v>
      </c>
      <c r="I7" s="6" t="s">
        <v>30</v>
      </c>
    </row>
    <row r="8" customFormat="false" ht="15" hidden="false" customHeight="false" outlineLevel="0" collapsed="false">
      <c r="B8" s="7" t="s">
        <v>31</v>
      </c>
      <c r="C8" s="7" t="s">
        <v>32</v>
      </c>
      <c r="D8" s="7" t="s">
        <v>33</v>
      </c>
      <c r="E8" s="7" t="n">
        <v>180</v>
      </c>
      <c r="G8" s="5" t="s">
        <v>34</v>
      </c>
      <c r="H8" s="6" t="s">
        <v>35</v>
      </c>
      <c r="I8" s="6" t="s">
        <v>36</v>
      </c>
      <c r="J8" s="6" t="s">
        <v>37</v>
      </c>
    </row>
    <row r="9" customFormat="false" ht="15" hidden="false" customHeight="false" outlineLevel="0" collapsed="false">
      <c r="B9" s="7" t="s">
        <v>38</v>
      </c>
      <c r="C9" s="7" t="s">
        <v>39</v>
      </c>
      <c r="D9" s="7" t="s">
        <v>40</v>
      </c>
      <c r="E9" s="7" t="n">
        <v>120</v>
      </c>
      <c r="G9" s="5" t="s">
        <v>41</v>
      </c>
      <c r="H9" s="6" t="s">
        <v>42</v>
      </c>
      <c r="I9" s="6" t="s">
        <v>43</v>
      </c>
      <c r="J9" s="6" t="s">
        <v>44</v>
      </c>
      <c r="K9" s="6" t="s">
        <v>45</v>
      </c>
      <c r="L9" s="6" t="s">
        <v>46</v>
      </c>
      <c r="M9" s="6" t="s">
        <v>47</v>
      </c>
      <c r="N9" s="6" t="s">
        <v>48</v>
      </c>
      <c r="O9" s="6" t="s">
        <v>49</v>
      </c>
    </row>
    <row r="10" customFormat="false" ht="15" hidden="false" customHeight="false" outlineLevel="0" collapsed="false">
      <c r="B10" s="8"/>
      <c r="C10" s="8"/>
      <c r="D10" s="8"/>
      <c r="E10" s="8"/>
    </row>
    <row r="11" customFormat="false" ht="15" hidden="false" customHeight="false" outlineLevel="0" collapsed="false">
      <c r="B11" s="9" t="s">
        <v>50</v>
      </c>
      <c r="C11" s="9"/>
      <c r="D11" s="9"/>
      <c r="E11" s="9"/>
    </row>
    <row r="12" customFormat="false" ht="15" hidden="false" customHeight="false" outlineLevel="0" collapsed="false">
      <c r="B12" s="4" t="s">
        <v>51</v>
      </c>
      <c r="C12" s="4" t="s">
        <v>52</v>
      </c>
      <c r="D12" s="4" t="s">
        <v>53</v>
      </c>
      <c r="E12" s="8"/>
    </row>
    <row r="13" customFormat="false" ht="15" hidden="false" customHeight="false" outlineLevel="0" collapsed="false">
      <c r="B13" s="10" t="s">
        <v>54</v>
      </c>
      <c r="C13" s="10" t="n">
        <v>3000000</v>
      </c>
      <c r="D13" s="10" t="n">
        <v>50000</v>
      </c>
      <c r="E13" s="8"/>
    </row>
    <row r="14" customFormat="false" ht="15" hidden="false" customHeight="false" outlineLevel="0" collapsed="false">
      <c r="B14" s="10" t="s">
        <v>55</v>
      </c>
      <c r="C14" s="10" t="n">
        <v>2500000</v>
      </c>
      <c r="D14" s="10" t="n">
        <v>40000</v>
      </c>
      <c r="E14" s="8"/>
    </row>
    <row r="15" customFormat="false" ht="15" hidden="false" customHeight="false" outlineLevel="0" collapsed="false">
      <c r="B15" s="10" t="s">
        <v>56</v>
      </c>
      <c r="C15" s="10" t="n">
        <v>2000000</v>
      </c>
      <c r="D15" s="10" t="n">
        <v>35000</v>
      </c>
    </row>
  </sheetData>
  <mergeCells count="3">
    <mergeCell ref="B1:F1"/>
    <mergeCell ref="B3:E3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AV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4"/>
    <col collapsed="false" customWidth="true" hidden="false" outlineLevel="0" max="11" min="9" style="0" width="18"/>
    <col collapsed="false" customWidth="true" hidden="false" outlineLevel="0" max="12" min="12" style="0" width="16"/>
    <col collapsed="false" customWidth="true" hidden="false" outlineLevel="0" max="13" min="13" style="0" width="20"/>
    <col collapsed="false" customWidth="true" hidden="false" outlineLevel="0" max="15" min="14" style="0" width="18"/>
    <col collapsed="false" customWidth="true" hidden="false" outlineLevel="0" max="16" min="16" style="0" width="17"/>
    <col collapsed="false" customWidth="true" hidden="false" outlineLevel="0" max="18" min="17" style="0" width="16"/>
    <col collapsed="false" customWidth="true" hidden="false" outlineLevel="0" max="19" min="19" style="0" width="22"/>
    <col collapsed="false" customWidth="true" hidden="false" outlineLevel="0" max="20" min="20" style="0" width="20"/>
    <col collapsed="false" customWidth="true" hidden="false" outlineLevel="0" max="21" min="21" style="0" width="30"/>
    <col collapsed="false" customWidth="true" hidden="false" outlineLevel="0" max="22" min="22" style="0" width="16"/>
    <col collapsed="false" customWidth="true" hidden="false" outlineLevel="0" max="23" min="23" style="0" width="14"/>
    <col collapsed="false" customWidth="true" hidden="false" outlineLevel="0" max="24" min="24" style="0" width="20"/>
    <col collapsed="false" customWidth="true" hidden="false" outlineLevel="0" max="25" min="25" style="0" width="14"/>
    <col collapsed="false" customWidth="true" hidden="false" outlineLevel="0" max="26" min="26" style="0" width="18"/>
    <col collapsed="false" customWidth="true" hidden="false" outlineLevel="0" max="27" min="27" style="0" width="16"/>
    <col collapsed="false" customWidth="true" hidden="false" outlineLevel="0" max="29" min="28" style="0" width="14"/>
    <col collapsed="false" customWidth="true" hidden="false" outlineLevel="0" max="30" min="30" style="0" width="20"/>
    <col collapsed="false" customWidth="true" hidden="false" outlineLevel="0" max="31" min="31" style="0" width="14"/>
    <col collapsed="false" customWidth="true" hidden="false" outlineLevel="0" max="32" min="32" style="0" width="16"/>
    <col collapsed="false" customWidth="true" hidden="false" outlineLevel="0" max="33" min="33" style="0" width="14"/>
    <col collapsed="false" customWidth="true" hidden="false" outlineLevel="0" max="34" min="34" style="0" width="20"/>
    <col collapsed="false" customWidth="true" hidden="false" outlineLevel="0" max="35" min="35" style="0" width="15"/>
    <col collapsed="false" customWidth="true" hidden="false" outlineLevel="0" max="36" min="36" style="0" width="22"/>
    <col collapsed="false" customWidth="true" hidden="false" outlineLevel="0" max="37" min="37" style="0" width="16"/>
    <col collapsed="false" customWidth="true" hidden="false" outlineLevel="0" max="39" min="38" style="0" width="20"/>
    <col collapsed="false" customWidth="true" hidden="false" outlineLevel="0" max="40" min="40" style="0" width="16"/>
    <col collapsed="false" customWidth="true" hidden="false" outlineLevel="0" max="41" min="41" style="0" width="14"/>
    <col collapsed="false" customWidth="true" hidden="false" outlineLevel="0" max="42" min="42" style="0" width="20"/>
    <col collapsed="false" customWidth="true" hidden="false" outlineLevel="0" max="44" min="43" style="0" width="14"/>
    <col collapsed="false" customWidth="true" hidden="false" outlineLevel="0" max="45" min="45" style="0" width="18"/>
    <col collapsed="false" customWidth="true" hidden="false" outlineLevel="0" max="46" min="46" style="0" width="14"/>
    <col collapsed="false" customWidth="true" hidden="false" outlineLevel="0" max="47" min="47" style="0" width="18"/>
    <col collapsed="false" customWidth="true" hidden="false" outlineLevel="0" max="48" min="48" style="0" width="25"/>
  </cols>
  <sheetData>
    <row r="1" customFormat="false" ht="42" hidden="false" customHeight="true" outlineLevel="0" collapsed="false">
      <c r="A1" s="11" t="s">
        <v>57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</row>
    <row r="2" customFormat="false" ht="21.75" hidden="false" customHeight="true" outlineLevel="0" collapsed="false">
      <c r="A2" s="12" t="s">
        <v>58</v>
      </c>
      <c r="B2" s="12" t="s">
        <v>59</v>
      </c>
      <c r="C2" s="13" t="s">
        <v>60</v>
      </c>
      <c r="D2" s="13"/>
      <c r="E2" s="13"/>
      <c r="F2" s="13"/>
      <c r="G2" s="13"/>
      <c r="H2" s="13"/>
      <c r="I2" s="13"/>
      <c r="J2" s="13"/>
      <c r="K2" s="14" t="s">
        <v>61</v>
      </c>
      <c r="L2" s="14"/>
      <c r="M2" s="14"/>
      <c r="N2" s="14"/>
      <c r="O2" s="14"/>
      <c r="P2" s="14"/>
      <c r="Q2" s="14"/>
      <c r="R2" s="14"/>
      <c r="S2" s="15" t="s">
        <v>62</v>
      </c>
      <c r="T2" s="15"/>
      <c r="U2" s="15"/>
      <c r="V2" s="15"/>
      <c r="W2" s="15"/>
      <c r="X2" s="16" t="s">
        <v>63</v>
      </c>
      <c r="Y2" s="16"/>
      <c r="Z2" s="16"/>
      <c r="AA2" s="16"/>
      <c r="AB2" s="16"/>
      <c r="AC2" s="16"/>
      <c r="AD2" s="16"/>
      <c r="AE2" s="17" t="s">
        <v>64</v>
      </c>
      <c r="AF2" s="17"/>
      <c r="AG2" s="17"/>
      <c r="AH2" s="17"/>
      <c r="AI2" s="18" t="s">
        <v>65</v>
      </c>
      <c r="AJ2" s="18"/>
      <c r="AK2" s="18"/>
      <c r="AL2" s="18"/>
      <c r="AM2" s="18" t="s">
        <v>66</v>
      </c>
      <c r="AN2" s="18"/>
      <c r="AO2" s="19" t="s">
        <v>67</v>
      </c>
      <c r="AP2" s="19"/>
      <c r="AQ2" s="19"/>
      <c r="AR2" s="20" t="s">
        <v>68</v>
      </c>
      <c r="AS2" s="20"/>
      <c r="AT2" s="20"/>
      <c r="AU2" s="21" t="s">
        <v>69</v>
      </c>
      <c r="AV2" s="21"/>
    </row>
    <row r="3" customFormat="false" ht="37.5" hidden="false" customHeight="true" outlineLevel="0" collapsed="false">
      <c r="A3" s="22" t="s">
        <v>70</v>
      </c>
      <c r="B3" s="22" t="s">
        <v>71</v>
      </c>
      <c r="C3" s="23" t="s">
        <v>72</v>
      </c>
      <c r="D3" s="23" t="s">
        <v>73</v>
      </c>
      <c r="E3" s="23" t="s">
        <v>74</v>
      </c>
      <c r="F3" s="23" t="s">
        <v>75</v>
      </c>
      <c r="G3" s="23" t="s">
        <v>76</v>
      </c>
      <c r="H3" s="23" t="s">
        <v>77</v>
      </c>
      <c r="I3" s="23" t="s">
        <v>78</v>
      </c>
      <c r="J3" s="22" t="s">
        <v>79</v>
      </c>
      <c r="K3" s="23" t="s">
        <v>80</v>
      </c>
      <c r="L3" s="23" t="s">
        <v>81</v>
      </c>
      <c r="M3" s="22" t="s">
        <v>82</v>
      </c>
      <c r="N3" s="23" t="s">
        <v>83</v>
      </c>
      <c r="O3" s="23" t="s">
        <v>84</v>
      </c>
      <c r="P3" s="22" t="s">
        <v>85</v>
      </c>
      <c r="Q3" s="22" t="s">
        <v>86</v>
      </c>
      <c r="R3" s="22" t="s">
        <v>87</v>
      </c>
      <c r="S3" s="23" t="s">
        <v>88</v>
      </c>
      <c r="T3" s="23" t="s">
        <v>89</v>
      </c>
      <c r="U3" s="23" t="s">
        <v>90</v>
      </c>
      <c r="V3" s="23" t="s">
        <v>91</v>
      </c>
      <c r="W3" s="23" t="s">
        <v>92</v>
      </c>
      <c r="X3" s="23" t="s">
        <v>93</v>
      </c>
      <c r="Y3" s="23" t="s">
        <v>94</v>
      </c>
      <c r="Z3" s="23" t="s">
        <v>95</v>
      </c>
      <c r="AA3" s="23" t="s">
        <v>96</v>
      </c>
      <c r="AB3" s="23" t="s">
        <v>97</v>
      </c>
      <c r="AC3" s="23" t="s">
        <v>98</v>
      </c>
      <c r="AD3" s="23" t="s">
        <v>99</v>
      </c>
      <c r="AE3" s="23" t="s">
        <v>100</v>
      </c>
      <c r="AF3" s="23" t="s">
        <v>101</v>
      </c>
      <c r="AG3" s="23" t="s">
        <v>102</v>
      </c>
      <c r="AH3" s="23" t="s">
        <v>103</v>
      </c>
      <c r="AI3" s="23" t="s">
        <v>104</v>
      </c>
      <c r="AJ3" s="23" t="s">
        <v>105</v>
      </c>
      <c r="AK3" s="23" t="s">
        <v>106</v>
      </c>
      <c r="AL3" s="23" t="s">
        <v>51</v>
      </c>
      <c r="AM3" s="23" t="s">
        <v>107</v>
      </c>
      <c r="AN3" s="23" t="s">
        <v>108</v>
      </c>
      <c r="AO3" s="23" t="s">
        <v>109</v>
      </c>
      <c r="AP3" s="23" t="s">
        <v>110</v>
      </c>
      <c r="AQ3" s="23" t="s">
        <v>111</v>
      </c>
      <c r="AR3" s="23" t="s">
        <v>112</v>
      </c>
      <c r="AS3" s="23" t="s">
        <v>113</v>
      </c>
      <c r="AT3" s="23" t="s">
        <v>114</v>
      </c>
      <c r="AU3" s="23" t="s">
        <v>115</v>
      </c>
      <c r="AV3" s="23" t="s">
        <v>116</v>
      </c>
    </row>
    <row r="4" customFormat="false" ht="15" hidden="false" customHeight="false" outlineLevel="0" collapsed="false">
      <c r="A4" s="24" t="n">
        <v>1</v>
      </c>
      <c r="B4" s="25" t="str">
        <f aca="true">IF(C4="","",IF(E4="","",IFERROR("BTM-"&amp;LEFT(C4,3)&amp;"-"&amp;E4&amp;"-"&amp;TEXT(TODAY(),"YY")&amp;"-"&amp;TEXT(A4,"000"),"")))</f>
        <v/>
      </c>
      <c r="C4" s="26"/>
      <c r="D4" s="26"/>
      <c r="E4" s="26"/>
      <c r="F4" s="26"/>
      <c r="G4" s="26"/>
      <c r="H4" s="26"/>
      <c r="I4" s="26"/>
      <c r="J4" s="27" t="str">
        <f aca="false">IF(F4="","",IF(I4="","",F4*I4))</f>
        <v/>
      </c>
      <c r="K4" s="26"/>
      <c r="L4" s="26"/>
      <c r="M4" s="27" t="str">
        <f aca="false">IF(OR(J4="",L4="",K4=""),"",IFERROR((J4-K4-IF(O4="Adjust in Plan",N4,0))/L4,"-"))</f>
        <v/>
      </c>
      <c r="N4" s="28"/>
      <c r="O4" s="28"/>
      <c r="P4" s="27" t="n">
        <f aca="false">IFERROR(SUMIF(INSTALMENTS!$C:$C,B4,INSTALMENTS!$I:$I),0)</f>
        <v>0</v>
      </c>
      <c r="Q4" s="27" t="str">
        <f aca="false">IF(J4="","",J4-P4)</f>
        <v/>
      </c>
      <c r="R4" s="25" t="str">
        <f aca="true">IF(J4="","",IF(Q4&lt;=0,"✅ Completed",IF(IFERROR(SUMPRODUCT((INSTALMENTS!$C:$C=B4)*(INSTALMENTS!$F:$F&lt;TODAY())*(INSTALMENTS!$I:$I&lt;INSTALMENTS!$H:$H)),0)&gt;0,"🔴 Overdue","🟢 Active")))</f>
        <v/>
      </c>
      <c r="S4" s="26"/>
      <c r="T4" s="26"/>
      <c r="U4" s="26"/>
      <c r="V4" s="26"/>
      <c r="W4" s="26"/>
      <c r="X4" s="29"/>
      <c r="Y4" s="29"/>
      <c r="Z4" s="29"/>
      <c r="AA4" s="29"/>
      <c r="AB4" s="29"/>
      <c r="AC4" s="29"/>
      <c r="AD4" s="30"/>
      <c r="AE4" s="30"/>
      <c r="AF4" s="30"/>
      <c r="AG4" s="30"/>
      <c r="AH4" s="31"/>
      <c r="AI4" s="31"/>
      <c r="AJ4" s="31"/>
      <c r="AK4" s="31"/>
      <c r="AL4" s="31"/>
      <c r="AM4" s="31"/>
      <c r="AN4" s="26"/>
      <c r="AO4" s="26"/>
      <c r="AP4" s="26"/>
      <c r="AQ4" s="26"/>
      <c r="AR4" s="26"/>
      <c r="AS4" s="26"/>
      <c r="AT4" s="26"/>
      <c r="AU4" s="26"/>
      <c r="AV4" s="32"/>
    </row>
    <row r="5" customFormat="false" ht="15" hidden="false" customHeight="false" outlineLevel="0" collapsed="false">
      <c r="A5" s="24" t="n">
        <v>2</v>
      </c>
      <c r="B5" s="25" t="str">
        <f aca="true">IF(C5="","",IF(E5="","",IFERROR("BTM-"&amp;LEFT(C5,3)&amp;"-"&amp;E5&amp;"-"&amp;TEXT(TODAY(),"YY")&amp;"-"&amp;TEXT(A5,"000"),"")))</f>
        <v/>
      </c>
      <c r="C5" s="26"/>
      <c r="D5" s="26"/>
      <c r="E5" s="26"/>
      <c r="F5" s="26"/>
      <c r="G5" s="26"/>
      <c r="H5" s="26"/>
      <c r="I5" s="26"/>
      <c r="J5" s="27" t="str">
        <f aca="false">IF(F5="","",IF(I5="","",F5*I5))</f>
        <v/>
      </c>
      <c r="K5" s="26"/>
      <c r="L5" s="26"/>
      <c r="M5" s="27" t="str">
        <f aca="false">IF(OR(J5="",L5="",K5=""),"",IFERROR((J5-K5-IF(O5="Adjust in Plan",N5,0))/L5,"-"))</f>
        <v/>
      </c>
      <c r="N5" s="28"/>
      <c r="O5" s="28"/>
      <c r="P5" s="27" t="n">
        <f aca="false">IFERROR(SUMIF(INSTALMENTS!$C:$C,B5,INSTALMENTS!$I:$I),0)</f>
        <v>0</v>
      </c>
      <c r="Q5" s="27" t="str">
        <f aca="false">IF(J5="","",J5-P5)</f>
        <v/>
      </c>
      <c r="R5" s="25" t="str">
        <f aca="true">IF(J5="","",IF(Q5&lt;=0,"✅ Completed",IF(IFERROR(SUMPRODUCT((INSTALMENTS!$C:$C=B5)*(INSTALMENTS!$F:$F&lt;TODAY())*(INSTALMENTS!$I:$I&lt;INSTALMENTS!$H:$H)),0)&gt;0,"🔴 Overdue","🟢 Active")))</f>
        <v/>
      </c>
      <c r="S5" s="26"/>
      <c r="T5" s="26"/>
      <c r="U5" s="26"/>
      <c r="V5" s="26"/>
      <c r="W5" s="26"/>
      <c r="X5" s="29"/>
      <c r="Y5" s="29"/>
      <c r="Z5" s="29"/>
      <c r="AA5" s="29"/>
      <c r="AB5" s="29"/>
      <c r="AC5" s="29"/>
      <c r="AD5" s="30"/>
      <c r="AE5" s="30"/>
      <c r="AF5" s="30"/>
      <c r="AG5" s="30"/>
      <c r="AH5" s="31"/>
      <c r="AI5" s="31"/>
      <c r="AJ5" s="31"/>
      <c r="AK5" s="31"/>
      <c r="AL5" s="31"/>
      <c r="AM5" s="31"/>
      <c r="AN5" s="26"/>
      <c r="AO5" s="26"/>
      <c r="AP5" s="26"/>
      <c r="AQ5" s="26"/>
      <c r="AR5" s="26"/>
      <c r="AS5" s="26"/>
      <c r="AT5" s="26"/>
      <c r="AU5" s="26"/>
      <c r="AV5" s="32"/>
    </row>
    <row r="6" customFormat="false" ht="15" hidden="false" customHeight="false" outlineLevel="0" collapsed="false">
      <c r="A6" s="24" t="n">
        <v>3</v>
      </c>
      <c r="B6" s="25" t="str">
        <f aca="true">IF(C6="","",IF(E6="","",IFERROR("BTM-"&amp;LEFT(C6,3)&amp;"-"&amp;E6&amp;"-"&amp;TEXT(TODAY(),"YY")&amp;"-"&amp;TEXT(A6,"000"),"")))</f>
        <v/>
      </c>
      <c r="C6" s="26"/>
      <c r="D6" s="26"/>
      <c r="E6" s="26"/>
      <c r="F6" s="26"/>
      <c r="G6" s="26"/>
      <c r="H6" s="26"/>
      <c r="I6" s="26"/>
      <c r="J6" s="27" t="str">
        <f aca="false">IF(F6="","",IF(I6="","",F6*I6))</f>
        <v/>
      </c>
      <c r="K6" s="26"/>
      <c r="L6" s="26"/>
      <c r="M6" s="27" t="str">
        <f aca="false">IF(OR(J6="",L6="",K6=""),"",IFERROR((J6-K6-IF(O6="Adjust in Plan",N6,0))/L6,"-"))</f>
        <v/>
      </c>
      <c r="N6" s="28"/>
      <c r="O6" s="28"/>
      <c r="P6" s="27" t="n">
        <f aca="false">IFERROR(SUMIF(INSTALMENTS!$C:$C,B6,INSTALMENTS!$I:$I),0)</f>
        <v>0</v>
      </c>
      <c r="Q6" s="27" t="str">
        <f aca="false">IF(J6="","",J6-P6)</f>
        <v/>
      </c>
      <c r="R6" s="25" t="str">
        <f aca="true">IF(J6="","",IF(Q6&lt;=0,"✅ Completed",IF(IFERROR(SUMPRODUCT((INSTALMENTS!$C:$C=B6)*(INSTALMENTS!$F:$F&lt;TODAY())*(INSTALMENTS!$I:$I&lt;INSTALMENTS!$H:$H)),0)&gt;0,"🔴 Overdue","🟢 Active")))</f>
        <v/>
      </c>
      <c r="S6" s="26"/>
      <c r="T6" s="26"/>
      <c r="U6" s="26"/>
      <c r="V6" s="26"/>
      <c r="W6" s="26"/>
      <c r="X6" s="29"/>
      <c r="Y6" s="29"/>
      <c r="Z6" s="29"/>
      <c r="AA6" s="29"/>
      <c r="AB6" s="29"/>
      <c r="AC6" s="29"/>
      <c r="AD6" s="30"/>
      <c r="AE6" s="30"/>
      <c r="AF6" s="30"/>
      <c r="AG6" s="30"/>
      <c r="AH6" s="31"/>
      <c r="AI6" s="31"/>
      <c r="AJ6" s="31"/>
      <c r="AK6" s="31"/>
      <c r="AL6" s="31"/>
      <c r="AM6" s="31"/>
      <c r="AN6" s="26"/>
      <c r="AO6" s="26"/>
      <c r="AP6" s="26"/>
      <c r="AQ6" s="26"/>
      <c r="AR6" s="26"/>
      <c r="AS6" s="26"/>
      <c r="AT6" s="26"/>
      <c r="AU6" s="26"/>
      <c r="AV6" s="32"/>
    </row>
    <row r="7" customFormat="false" ht="15" hidden="false" customHeight="false" outlineLevel="0" collapsed="false">
      <c r="A7" s="24" t="n">
        <v>4</v>
      </c>
      <c r="B7" s="25" t="str">
        <f aca="true">IF(C7="","",IF(E7="","",IFERROR("BTM-"&amp;LEFT(C7,3)&amp;"-"&amp;E7&amp;"-"&amp;TEXT(TODAY(),"YY")&amp;"-"&amp;TEXT(A7,"000"),"")))</f>
        <v/>
      </c>
      <c r="C7" s="26"/>
      <c r="D7" s="26"/>
      <c r="E7" s="26"/>
      <c r="F7" s="26"/>
      <c r="G7" s="26"/>
      <c r="H7" s="26"/>
      <c r="I7" s="26"/>
      <c r="J7" s="27" t="str">
        <f aca="false">IF(F7="","",IF(I7="","",F7*I7))</f>
        <v/>
      </c>
      <c r="K7" s="26"/>
      <c r="L7" s="26"/>
      <c r="M7" s="27" t="str">
        <f aca="false">IF(OR(J7="",L7="",K7=""),"",IFERROR((J7-K7-IF(O7="Adjust in Plan",N7,0))/L7,"-"))</f>
        <v/>
      </c>
      <c r="N7" s="28"/>
      <c r="O7" s="28"/>
      <c r="P7" s="27" t="n">
        <f aca="false">IFERROR(SUMIF(INSTALMENTS!$C:$C,B7,INSTALMENTS!$I:$I),0)</f>
        <v>0</v>
      </c>
      <c r="Q7" s="27" t="str">
        <f aca="false">IF(J7="","",J7-P7)</f>
        <v/>
      </c>
      <c r="R7" s="25" t="str">
        <f aca="true">IF(J7="","",IF(Q7&lt;=0,"✅ Completed",IF(IFERROR(SUMPRODUCT((INSTALMENTS!$C:$C=B7)*(INSTALMENTS!$F:$F&lt;TODAY())*(INSTALMENTS!$I:$I&lt;INSTALMENTS!$H:$H)),0)&gt;0,"🔴 Overdue","🟢 Active")))</f>
        <v/>
      </c>
      <c r="S7" s="26"/>
      <c r="T7" s="26"/>
      <c r="U7" s="26"/>
      <c r="V7" s="26"/>
      <c r="W7" s="26"/>
      <c r="X7" s="29"/>
      <c r="Y7" s="29"/>
      <c r="Z7" s="29"/>
      <c r="AA7" s="29"/>
      <c r="AB7" s="29"/>
      <c r="AC7" s="29"/>
      <c r="AD7" s="30"/>
      <c r="AE7" s="30"/>
      <c r="AF7" s="30"/>
      <c r="AG7" s="30"/>
      <c r="AH7" s="31"/>
      <c r="AI7" s="31"/>
      <c r="AJ7" s="31"/>
      <c r="AK7" s="31"/>
      <c r="AL7" s="31"/>
      <c r="AM7" s="31"/>
      <c r="AN7" s="26"/>
      <c r="AO7" s="26"/>
      <c r="AP7" s="26"/>
      <c r="AQ7" s="26"/>
      <c r="AR7" s="26"/>
      <c r="AS7" s="26"/>
      <c r="AT7" s="26"/>
      <c r="AU7" s="26"/>
      <c r="AV7" s="32"/>
    </row>
    <row r="8" customFormat="false" ht="15" hidden="false" customHeight="false" outlineLevel="0" collapsed="false">
      <c r="A8" s="24" t="n">
        <v>5</v>
      </c>
      <c r="B8" s="25" t="str">
        <f aca="true">IF(C8="","",IF(E8="","",IFERROR("BTM-"&amp;LEFT(C8,3)&amp;"-"&amp;E8&amp;"-"&amp;TEXT(TODAY(),"YY")&amp;"-"&amp;TEXT(A8,"000"),"")))</f>
        <v/>
      </c>
      <c r="C8" s="26"/>
      <c r="D8" s="26"/>
      <c r="E8" s="26"/>
      <c r="F8" s="26"/>
      <c r="G8" s="26"/>
      <c r="H8" s="26"/>
      <c r="I8" s="26"/>
      <c r="J8" s="27" t="str">
        <f aca="false">IF(F8="","",IF(I8="","",F8*I8))</f>
        <v/>
      </c>
      <c r="K8" s="26"/>
      <c r="L8" s="26"/>
      <c r="M8" s="27" t="str">
        <f aca="false">IF(OR(J8="",L8="",K8=""),"",IFERROR((J8-K8-IF(O8="Adjust in Plan",N8,0))/L8,"-"))</f>
        <v/>
      </c>
      <c r="N8" s="28"/>
      <c r="O8" s="28"/>
      <c r="P8" s="27" t="n">
        <f aca="false">IFERROR(SUMIF(INSTALMENTS!$C:$C,B8,INSTALMENTS!$I:$I),0)</f>
        <v>0</v>
      </c>
      <c r="Q8" s="27" t="str">
        <f aca="false">IF(J8="","",J8-P8)</f>
        <v/>
      </c>
      <c r="R8" s="25" t="str">
        <f aca="true">IF(J8="","",IF(Q8&lt;=0,"✅ Completed",IF(IFERROR(SUMPRODUCT((INSTALMENTS!$C:$C=B8)*(INSTALMENTS!$F:$F&lt;TODAY())*(INSTALMENTS!$I:$I&lt;INSTALMENTS!$H:$H)),0)&gt;0,"🔴 Overdue","🟢 Active")))</f>
        <v/>
      </c>
      <c r="S8" s="26"/>
      <c r="T8" s="26"/>
      <c r="U8" s="26"/>
      <c r="V8" s="26"/>
      <c r="W8" s="26"/>
      <c r="X8" s="29"/>
      <c r="Y8" s="29"/>
      <c r="Z8" s="29"/>
      <c r="AA8" s="29"/>
      <c r="AB8" s="29"/>
      <c r="AC8" s="29"/>
      <c r="AD8" s="30"/>
      <c r="AE8" s="30"/>
      <c r="AF8" s="30"/>
      <c r="AG8" s="30"/>
      <c r="AH8" s="31"/>
      <c r="AI8" s="31"/>
      <c r="AJ8" s="31"/>
      <c r="AK8" s="31"/>
      <c r="AL8" s="31"/>
      <c r="AM8" s="31"/>
      <c r="AN8" s="26"/>
      <c r="AO8" s="26"/>
      <c r="AP8" s="26"/>
      <c r="AQ8" s="26"/>
      <c r="AR8" s="26"/>
      <c r="AS8" s="26"/>
      <c r="AT8" s="26"/>
      <c r="AU8" s="26"/>
      <c r="AV8" s="32"/>
    </row>
    <row r="9" customFormat="false" ht="15" hidden="false" customHeight="false" outlineLevel="0" collapsed="false">
      <c r="A9" s="24" t="n">
        <v>6</v>
      </c>
      <c r="B9" s="25" t="str">
        <f aca="true">IF(C9="","",IF(E9="","",IFERROR("BTM-"&amp;LEFT(C9,3)&amp;"-"&amp;E9&amp;"-"&amp;TEXT(TODAY(),"YY")&amp;"-"&amp;TEXT(A9,"000"),"")))</f>
        <v/>
      </c>
      <c r="C9" s="26"/>
      <c r="D9" s="26"/>
      <c r="E9" s="26"/>
      <c r="F9" s="26"/>
      <c r="G9" s="26"/>
      <c r="H9" s="26"/>
      <c r="I9" s="26"/>
      <c r="J9" s="27" t="str">
        <f aca="false">IF(F9="","",IF(I9="","",F9*I9))</f>
        <v/>
      </c>
      <c r="K9" s="26"/>
      <c r="L9" s="26"/>
      <c r="M9" s="27" t="str">
        <f aca="false">IF(OR(J9="",L9="",K9=""),"",IFERROR((J9-K9-IF(O9="Adjust in Plan",N9,0))/L9,"-"))</f>
        <v/>
      </c>
      <c r="N9" s="28"/>
      <c r="O9" s="28"/>
      <c r="P9" s="27" t="n">
        <f aca="false">IFERROR(SUMIF(INSTALMENTS!$C:$C,B9,INSTALMENTS!$I:$I),0)</f>
        <v>0</v>
      </c>
      <c r="Q9" s="27" t="str">
        <f aca="false">IF(J9="","",J9-P9)</f>
        <v/>
      </c>
      <c r="R9" s="25" t="str">
        <f aca="true">IF(J9="","",IF(Q9&lt;=0,"✅ Completed",IF(IFERROR(SUMPRODUCT((INSTALMENTS!$C:$C=B9)*(INSTALMENTS!$F:$F&lt;TODAY())*(INSTALMENTS!$I:$I&lt;INSTALMENTS!$H:$H)),0)&gt;0,"🔴 Overdue","🟢 Active")))</f>
        <v/>
      </c>
      <c r="S9" s="26"/>
      <c r="T9" s="26"/>
      <c r="U9" s="26"/>
      <c r="V9" s="26"/>
      <c r="W9" s="26"/>
      <c r="X9" s="29"/>
      <c r="Y9" s="29"/>
      <c r="Z9" s="29"/>
      <c r="AA9" s="29"/>
      <c r="AB9" s="29"/>
      <c r="AC9" s="29"/>
      <c r="AD9" s="30"/>
      <c r="AE9" s="30"/>
      <c r="AF9" s="30"/>
      <c r="AG9" s="30"/>
      <c r="AH9" s="31"/>
      <c r="AI9" s="31"/>
      <c r="AJ9" s="31"/>
      <c r="AK9" s="31"/>
      <c r="AL9" s="31"/>
      <c r="AM9" s="31"/>
      <c r="AN9" s="26"/>
      <c r="AO9" s="26"/>
      <c r="AP9" s="26"/>
      <c r="AQ9" s="26"/>
      <c r="AR9" s="26"/>
      <c r="AS9" s="26"/>
      <c r="AT9" s="26"/>
      <c r="AU9" s="26"/>
      <c r="AV9" s="32"/>
    </row>
    <row r="10" customFormat="false" ht="15" hidden="false" customHeight="false" outlineLevel="0" collapsed="false">
      <c r="A10" s="24" t="n">
        <v>7</v>
      </c>
      <c r="B10" s="25" t="str">
        <f aca="true">IF(C10="","",IF(E10="","",IFERROR("BTM-"&amp;LEFT(C10,3)&amp;"-"&amp;E10&amp;"-"&amp;TEXT(TODAY(),"YY")&amp;"-"&amp;TEXT(A10,"000"),"")))</f>
        <v/>
      </c>
      <c r="C10" s="26"/>
      <c r="D10" s="26"/>
      <c r="E10" s="26"/>
      <c r="F10" s="26"/>
      <c r="G10" s="26"/>
      <c r="H10" s="26"/>
      <c r="I10" s="26"/>
      <c r="J10" s="27" t="str">
        <f aca="false">IF(F10="","",IF(I10="","",F10*I10))</f>
        <v/>
      </c>
      <c r="K10" s="26"/>
      <c r="L10" s="26"/>
      <c r="M10" s="27" t="str">
        <f aca="false">IF(OR(J10="",L10="",K10=""),"",IFERROR((J10-K10-IF(O10="Adjust in Plan",N10,0))/L10,"-"))</f>
        <v/>
      </c>
      <c r="N10" s="28"/>
      <c r="O10" s="28"/>
      <c r="P10" s="27" t="n">
        <f aca="false">IFERROR(SUMIF(INSTALMENTS!$C:$C,B10,INSTALMENTS!$I:$I),0)</f>
        <v>0</v>
      </c>
      <c r="Q10" s="27" t="str">
        <f aca="false">IF(J10="","",J10-P10)</f>
        <v/>
      </c>
      <c r="R10" s="25" t="str">
        <f aca="true">IF(J10="","",IF(Q10&lt;=0,"✅ Completed",IF(IFERROR(SUMPRODUCT((INSTALMENTS!$C:$C=B10)*(INSTALMENTS!$F:$F&lt;TODAY())*(INSTALMENTS!$I:$I&lt;INSTALMENTS!$H:$H)),0)&gt;0,"🔴 Overdue","🟢 Active")))</f>
        <v/>
      </c>
      <c r="S10" s="26"/>
      <c r="T10" s="26"/>
      <c r="U10" s="26"/>
      <c r="V10" s="26"/>
      <c r="W10" s="26"/>
      <c r="X10" s="29"/>
      <c r="Y10" s="29"/>
      <c r="Z10" s="29"/>
      <c r="AA10" s="29"/>
      <c r="AB10" s="29"/>
      <c r="AC10" s="29"/>
      <c r="AD10" s="30"/>
      <c r="AE10" s="30"/>
      <c r="AF10" s="30"/>
      <c r="AG10" s="30"/>
      <c r="AH10" s="31"/>
      <c r="AI10" s="31"/>
      <c r="AJ10" s="31"/>
      <c r="AK10" s="31"/>
      <c r="AL10" s="31"/>
      <c r="AM10" s="31"/>
      <c r="AN10" s="26"/>
      <c r="AO10" s="26"/>
      <c r="AP10" s="26"/>
      <c r="AQ10" s="26"/>
      <c r="AR10" s="26"/>
      <c r="AS10" s="26"/>
      <c r="AT10" s="26"/>
      <c r="AU10" s="26"/>
      <c r="AV10" s="32"/>
    </row>
    <row r="11" customFormat="false" ht="15" hidden="false" customHeight="false" outlineLevel="0" collapsed="false">
      <c r="A11" s="24" t="n">
        <v>8</v>
      </c>
      <c r="B11" s="25" t="str">
        <f aca="true">IF(C11="","",IF(E11="","",IFERROR("BTM-"&amp;LEFT(C11,3)&amp;"-"&amp;E11&amp;"-"&amp;TEXT(TODAY(),"YY")&amp;"-"&amp;TEXT(A11,"000"),"")))</f>
        <v/>
      </c>
      <c r="C11" s="26"/>
      <c r="D11" s="26"/>
      <c r="E11" s="26"/>
      <c r="F11" s="26"/>
      <c r="G11" s="26"/>
      <c r="H11" s="26"/>
      <c r="I11" s="26"/>
      <c r="J11" s="27" t="str">
        <f aca="false">IF(F11="","",IF(I11="","",F11*I11))</f>
        <v/>
      </c>
      <c r="K11" s="26"/>
      <c r="L11" s="26"/>
      <c r="M11" s="27" t="str">
        <f aca="false">IF(OR(J11="",L11="",K11=""),"",IFERROR((J11-K11-IF(O11="Adjust in Plan",N11,0))/L11,"-"))</f>
        <v/>
      </c>
      <c r="N11" s="28"/>
      <c r="O11" s="28"/>
      <c r="P11" s="27" t="n">
        <f aca="false">IFERROR(SUMIF(INSTALMENTS!$C:$C,B11,INSTALMENTS!$I:$I),0)</f>
        <v>0</v>
      </c>
      <c r="Q11" s="27" t="str">
        <f aca="false">IF(J11="","",J11-P11)</f>
        <v/>
      </c>
      <c r="R11" s="25" t="str">
        <f aca="true">IF(J11="","",IF(Q11&lt;=0,"✅ Completed",IF(IFERROR(SUMPRODUCT((INSTALMENTS!$C:$C=B11)*(INSTALMENTS!$F:$F&lt;TODAY())*(INSTALMENTS!$I:$I&lt;INSTALMENTS!$H:$H)),0)&gt;0,"🔴 Overdue","🟢 Active")))</f>
        <v/>
      </c>
      <c r="S11" s="26"/>
      <c r="T11" s="26"/>
      <c r="U11" s="26"/>
      <c r="V11" s="26"/>
      <c r="W11" s="26"/>
      <c r="X11" s="29"/>
      <c r="Y11" s="29"/>
      <c r="Z11" s="29"/>
      <c r="AA11" s="29"/>
      <c r="AB11" s="29"/>
      <c r="AC11" s="29"/>
      <c r="AD11" s="30"/>
      <c r="AE11" s="30"/>
      <c r="AF11" s="30"/>
      <c r="AG11" s="30"/>
      <c r="AH11" s="31"/>
      <c r="AI11" s="31"/>
      <c r="AJ11" s="31"/>
      <c r="AK11" s="31"/>
      <c r="AL11" s="31"/>
      <c r="AM11" s="31"/>
      <c r="AN11" s="26"/>
      <c r="AO11" s="26"/>
      <c r="AP11" s="26"/>
      <c r="AQ11" s="26"/>
      <c r="AR11" s="26"/>
      <c r="AS11" s="26"/>
      <c r="AT11" s="26"/>
      <c r="AU11" s="26"/>
      <c r="AV11" s="32"/>
    </row>
    <row r="12" customFormat="false" ht="15" hidden="false" customHeight="false" outlineLevel="0" collapsed="false">
      <c r="A12" s="24" t="n">
        <v>9</v>
      </c>
      <c r="B12" s="25" t="str">
        <f aca="true">IF(C12="","",IF(E12="","",IFERROR("BTM-"&amp;LEFT(C12,3)&amp;"-"&amp;E12&amp;"-"&amp;TEXT(TODAY(),"YY")&amp;"-"&amp;TEXT(A12,"000"),"")))</f>
        <v/>
      </c>
      <c r="C12" s="26"/>
      <c r="D12" s="26"/>
      <c r="E12" s="26"/>
      <c r="F12" s="26"/>
      <c r="G12" s="26"/>
      <c r="H12" s="26"/>
      <c r="I12" s="26"/>
      <c r="J12" s="27" t="str">
        <f aca="false">IF(F12="","",IF(I12="","",F12*I12))</f>
        <v/>
      </c>
      <c r="K12" s="26"/>
      <c r="L12" s="26"/>
      <c r="M12" s="27" t="str">
        <f aca="false">IF(OR(J12="",L12="",K12=""),"",IFERROR((J12-K12-IF(O12="Adjust in Plan",N12,0))/L12,"-"))</f>
        <v/>
      </c>
      <c r="N12" s="28"/>
      <c r="O12" s="28"/>
      <c r="P12" s="27" t="n">
        <f aca="false">IFERROR(SUMIF(INSTALMENTS!$C:$C,B12,INSTALMENTS!$I:$I),0)</f>
        <v>0</v>
      </c>
      <c r="Q12" s="27" t="str">
        <f aca="false">IF(J12="","",J12-P12)</f>
        <v/>
      </c>
      <c r="R12" s="25" t="str">
        <f aca="true">IF(J12="","",IF(Q12&lt;=0,"✅ Completed",IF(IFERROR(SUMPRODUCT((INSTALMENTS!$C:$C=B12)*(INSTALMENTS!$F:$F&lt;TODAY())*(INSTALMENTS!$I:$I&lt;INSTALMENTS!$H:$H)),0)&gt;0,"🔴 Overdue","🟢 Active")))</f>
        <v/>
      </c>
      <c r="S12" s="26"/>
      <c r="T12" s="26"/>
      <c r="U12" s="26"/>
      <c r="V12" s="26"/>
      <c r="W12" s="26"/>
      <c r="X12" s="29"/>
      <c r="Y12" s="29"/>
      <c r="Z12" s="29"/>
      <c r="AA12" s="29"/>
      <c r="AB12" s="29"/>
      <c r="AC12" s="29"/>
      <c r="AD12" s="30"/>
      <c r="AE12" s="30"/>
      <c r="AF12" s="30"/>
      <c r="AG12" s="30"/>
      <c r="AH12" s="31"/>
      <c r="AI12" s="31"/>
      <c r="AJ12" s="31"/>
      <c r="AK12" s="31"/>
      <c r="AL12" s="31"/>
      <c r="AM12" s="31"/>
      <c r="AN12" s="26"/>
      <c r="AO12" s="26"/>
      <c r="AP12" s="26"/>
      <c r="AQ12" s="26"/>
      <c r="AR12" s="26"/>
      <c r="AS12" s="26"/>
      <c r="AT12" s="26"/>
      <c r="AU12" s="26"/>
      <c r="AV12" s="32"/>
    </row>
    <row r="13" customFormat="false" ht="15" hidden="false" customHeight="false" outlineLevel="0" collapsed="false">
      <c r="A13" s="24" t="n">
        <v>10</v>
      </c>
      <c r="B13" s="25" t="str">
        <f aca="true">IF(C13="","",IF(E13="","",IFERROR("BTM-"&amp;LEFT(C13,3)&amp;"-"&amp;E13&amp;"-"&amp;TEXT(TODAY(),"YY")&amp;"-"&amp;TEXT(A13,"000"),"")))</f>
        <v/>
      </c>
      <c r="C13" s="26"/>
      <c r="D13" s="26"/>
      <c r="E13" s="26"/>
      <c r="F13" s="26"/>
      <c r="G13" s="26"/>
      <c r="H13" s="26"/>
      <c r="I13" s="26"/>
      <c r="J13" s="27" t="str">
        <f aca="false">IF(F13="","",IF(I13="","",F13*I13))</f>
        <v/>
      </c>
      <c r="K13" s="26"/>
      <c r="L13" s="26"/>
      <c r="M13" s="27" t="str">
        <f aca="false">IF(OR(J13="",L13="",K13=""),"",IFERROR((J13-K13-IF(O13="Adjust in Plan",N13,0))/L13,"-"))</f>
        <v/>
      </c>
      <c r="N13" s="28"/>
      <c r="O13" s="28"/>
      <c r="P13" s="27" t="n">
        <f aca="false">IFERROR(SUMIF(INSTALMENTS!$C:$C,B13,INSTALMENTS!$I:$I),0)</f>
        <v>0</v>
      </c>
      <c r="Q13" s="27" t="str">
        <f aca="false">IF(J13="","",J13-P13)</f>
        <v/>
      </c>
      <c r="R13" s="25" t="str">
        <f aca="true">IF(J13="","",IF(Q13&lt;=0,"✅ Completed",IF(IFERROR(SUMPRODUCT((INSTALMENTS!$C:$C=B13)*(INSTALMENTS!$F:$F&lt;TODAY())*(INSTALMENTS!$I:$I&lt;INSTALMENTS!$H:$H)),0)&gt;0,"🔴 Overdue","🟢 Active")))</f>
        <v/>
      </c>
      <c r="S13" s="26"/>
      <c r="T13" s="26"/>
      <c r="U13" s="26"/>
      <c r="V13" s="26"/>
      <c r="W13" s="26"/>
      <c r="X13" s="29"/>
      <c r="Y13" s="29"/>
      <c r="Z13" s="29"/>
      <c r="AA13" s="29"/>
      <c r="AB13" s="29"/>
      <c r="AC13" s="29"/>
      <c r="AD13" s="30"/>
      <c r="AE13" s="30"/>
      <c r="AF13" s="30"/>
      <c r="AG13" s="30"/>
      <c r="AH13" s="31"/>
      <c r="AI13" s="31"/>
      <c r="AJ13" s="31"/>
      <c r="AK13" s="31"/>
      <c r="AL13" s="31"/>
      <c r="AM13" s="31"/>
      <c r="AN13" s="26"/>
      <c r="AO13" s="26"/>
      <c r="AP13" s="26"/>
      <c r="AQ13" s="26"/>
      <c r="AR13" s="26"/>
      <c r="AS13" s="26"/>
      <c r="AT13" s="26"/>
      <c r="AU13" s="26"/>
      <c r="AV13" s="32"/>
    </row>
    <row r="14" customFormat="false" ht="15" hidden="false" customHeight="false" outlineLevel="0" collapsed="false">
      <c r="A14" s="24" t="n">
        <v>11</v>
      </c>
      <c r="B14" s="25" t="str">
        <f aca="true">IF(C14="","",IF(E14="","",IFERROR("BTM-"&amp;LEFT(C14,3)&amp;"-"&amp;E14&amp;"-"&amp;TEXT(TODAY(),"YY")&amp;"-"&amp;TEXT(A14,"000"),"")))</f>
        <v/>
      </c>
      <c r="C14" s="26"/>
      <c r="D14" s="26"/>
      <c r="E14" s="26"/>
      <c r="F14" s="26"/>
      <c r="G14" s="26"/>
      <c r="H14" s="26"/>
      <c r="I14" s="26"/>
      <c r="J14" s="27" t="str">
        <f aca="false">IF(F14="","",IF(I14="","",F14*I14))</f>
        <v/>
      </c>
      <c r="K14" s="26"/>
      <c r="L14" s="26"/>
      <c r="M14" s="27" t="str">
        <f aca="false">IF(OR(J14="",L14="",K14=""),"",IFERROR((J14-K14-IF(O14="Adjust in Plan",N14,0))/L14,"-"))</f>
        <v/>
      </c>
      <c r="N14" s="28"/>
      <c r="O14" s="28"/>
      <c r="P14" s="27" t="n">
        <f aca="false">IFERROR(SUMIF(INSTALMENTS!$C:$C,B14,INSTALMENTS!$I:$I),0)</f>
        <v>0</v>
      </c>
      <c r="Q14" s="27" t="str">
        <f aca="false">IF(J14="","",J14-P14)</f>
        <v/>
      </c>
      <c r="R14" s="25" t="str">
        <f aca="true">IF(J14="","",IF(Q14&lt;=0,"✅ Completed",IF(IFERROR(SUMPRODUCT((INSTALMENTS!$C:$C=B14)*(INSTALMENTS!$F:$F&lt;TODAY())*(INSTALMENTS!$I:$I&lt;INSTALMENTS!$H:$H)),0)&gt;0,"🔴 Overdue","🟢 Active")))</f>
        <v/>
      </c>
      <c r="S14" s="26"/>
      <c r="T14" s="26"/>
      <c r="U14" s="26"/>
      <c r="V14" s="26"/>
      <c r="W14" s="26"/>
      <c r="X14" s="29"/>
      <c r="Y14" s="29"/>
      <c r="Z14" s="29"/>
      <c r="AA14" s="29"/>
      <c r="AB14" s="29"/>
      <c r="AC14" s="29"/>
      <c r="AD14" s="30"/>
      <c r="AE14" s="30"/>
      <c r="AF14" s="30"/>
      <c r="AG14" s="30"/>
      <c r="AH14" s="31"/>
      <c r="AI14" s="31"/>
      <c r="AJ14" s="31"/>
      <c r="AK14" s="31"/>
      <c r="AL14" s="31"/>
      <c r="AM14" s="31"/>
      <c r="AN14" s="26"/>
      <c r="AO14" s="26"/>
      <c r="AP14" s="26"/>
      <c r="AQ14" s="26"/>
      <c r="AR14" s="26"/>
      <c r="AS14" s="26"/>
      <c r="AT14" s="26"/>
      <c r="AU14" s="26"/>
      <c r="AV14" s="32"/>
    </row>
    <row r="15" customFormat="false" ht="15" hidden="false" customHeight="false" outlineLevel="0" collapsed="false">
      <c r="A15" s="24" t="n">
        <v>12</v>
      </c>
      <c r="B15" s="25" t="str">
        <f aca="true">IF(C15="","",IF(E15="","",IFERROR("BTM-"&amp;LEFT(C15,3)&amp;"-"&amp;E15&amp;"-"&amp;TEXT(TODAY(),"YY")&amp;"-"&amp;TEXT(A15,"000"),"")))</f>
        <v/>
      </c>
      <c r="C15" s="26"/>
      <c r="D15" s="26"/>
      <c r="E15" s="26"/>
      <c r="F15" s="26"/>
      <c r="G15" s="26"/>
      <c r="H15" s="26"/>
      <c r="I15" s="26"/>
      <c r="J15" s="27" t="str">
        <f aca="false">IF(F15="","",IF(I15="","",F15*I15))</f>
        <v/>
      </c>
      <c r="K15" s="26"/>
      <c r="L15" s="26"/>
      <c r="M15" s="27" t="str">
        <f aca="false">IF(OR(J15="",L15="",K15=""),"",IFERROR((J15-K15-IF(O15="Adjust in Plan",N15,0))/L15,"-"))</f>
        <v/>
      </c>
      <c r="N15" s="28"/>
      <c r="O15" s="28"/>
      <c r="P15" s="27" t="n">
        <f aca="false">IFERROR(SUMIF(INSTALMENTS!$C:$C,B15,INSTALMENTS!$I:$I),0)</f>
        <v>0</v>
      </c>
      <c r="Q15" s="27" t="str">
        <f aca="false">IF(J15="","",J15-P15)</f>
        <v/>
      </c>
      <c r="R15" s="25" t="str">
        <f aca="true">IF(J15="","",IF(Q15&lt;=0,"✅ Completed",IF(IFERROR(SUMPRODUCT((INSTALMENTS!$C:$C=B15)*(INSTALMENTS!$F:$F&lt;TODAY())*(INSTALMENTS!$I:$I&lt;INSTALMENTS!$H:$H)),0)&gt;0,"🔴 Overdue","🟢 Active")))</f>
        <v/>
      </c>
      <c r="S15" s="26"/>
      <c r="T15" s="26"/>
      <c r="U15" s="26"/>
      <c r="V15" s="26"/>
      <c r="W15" s="26"/>
      <c r="X15" s="29"/>
      <c r="Y15" s="29"/>
      <c r="Z15" s="29"/>
      <c r="AA15" s="29"/>
      <c r="AB15" s="29"/>
      <c r="AC15" s="29"/>
      <c r="AD15" s="30"/>
      <c r="AE15" s="30"/>
      <c r="AF15" s="30"/>
      <c r="AG15" s="30"/>
      <c r="AH15" s="31"/>
      <c r="AI15" s="31"/>
      <c r="AJ15" s="31"/>
      <c r="AK15" s="31"/>
      <c r="AL15" s="31"/>
      <c r="AM15" s="31"/>
      <c r="AN15" s="26"/>
      <c r="AO15" s="26"/>
      <c r="AP15" s="26"/>
      <c r="AQ15" s="26"/>
      <c r="AR15" s="26"/>
      <c r="AS15" s="26"/>
      <c r="AT15" s="26"/>
      <c r="AU15" s="26"/>
      <c r="AV15" s="32"/>
    </row>
    <row r="16" customFormat="false" ht="15" hidden="false" customHeight="false" outlineLevel="0" collapsed="false">
      <c r="A16" s="24" t="n">
        <v>13</v>
      </c>
      <c r="B16" s="25" t="str">
        <f aca="true">IF(C16="","",IF(E16="","",IFERROR("BTM-"&amp;LEFT(C16,3)&amp;"-"&amp;E16&amp;"-"&amp;TEXT(TODAY(),"YY")&amp;"-"&amp;TEXT(A16,"000"),"")))</f>
        <v/>
      </c>
      <c r="C16" s="26"/>
      <c r="D16" s="26"/>
      <c r="E16" s="26"/>
      <c r="F16" s="26"/>
      <c r="G16" s="26"/>
      <c r="H16" s="26"/>
      <c r="I16" s="26"/>
      <c r="J16" s="27" t="str">
        <f aca="false">IF(F16="","",IF(I16="","",F16*I16))</f>
        <v/>
      </c>
      <c r="K16" s="26"/>
      <c r="L16" s="26"/>
      <c r="M16" s="27" t="str">
        <f aca="false">IF(OR(J16="",L16="",K16=""),"",IFERROR((J16-K16-IF(O16="Adjust in Plan",N16,0))/L16,"-"))</f>
        <v/>
      </c>
      <c r="N16" s="28"/>
      <c r="O16" s="28"/>
      <c r="P16" s="27" t="n">
        <f aca="false">IFERROR(SUMIF(INSTALMENTS!$C:$C,B16,INSTALMENTS!$I:$I),0)</f>
        <v>0</v>
      </c>
      <c r="Q16" s="27" t="str">
        <f aca="false">IF(J16="","",J16-P16)</f>
        <v/>
      </c>
      <c r="R16" s="25" t="str">
        <f aca="true">IF(J16="","",IF(Q16&lt;=0,"✅ Completed",IF(IFERROR(SUMPRODUCT((INSTALMENTS!$C:$C=B16)*(INSTALMENTS!$F:$F&lt;TODAY())*(INSTALMENTS!$I:$I&lt;INSTALMENTS!$H:$H)),0)&gt;0,"🔴 Overdue","🟢 Active")))</f>
        <v/>
      </c>
      <c r="S16" s="26"/>
      <c r="T16" s="26"/>
      <c r="U16" s="26"/>
      <c r="V16" s="26"/>
      <c r="W16" s="26"/>
      <c r="X16" s="29"/>
      <c r="Y16" s="29"/>
      <c r="Z16" s="29"/>
      <c r="AA16" s="29"/>
      <c r="AB16" s="29"/>
      <c r="AC16" s="29"/>
      <c r="AD16" s="30"/>
      <c r="AE16" s="30"/>
      <c r="AF16" s="30"/>
      <c r="AG16" s="30"/>
      <c r="AH16" s="31"/>
      <c r="AI16" s="31"/>
      <c r="AJ16" s="31"/>
      <c r="AK16" s="31"/>
      <c r="AL16" s="31"/>
      <c r="AM16" s="31"/>
      <c r="AN16" s="26"/>
      <c r="AO16" s="26"/>
      <c r="AP16" s="26"/>
      <c r="AQ16" s="26"/>
      <c r="AR16" s="26"/>
      <c r="AS16" s="26"/>
      <c r="AT16" s="26"/>
      <c r="AU16" s="26"/>
      <c r="AV16" s="32"/>
    </row>
    <row r="17" customFormat="false" ht="15" hidden="false" customHeight="false" outlineLevel="0" collapsed="false">
      <c r="A17" s="24" t="n">
        <v>14</v>
      </c>
      <c r="B17" s="25" t="str">
        <f aca="true">IF(C17="","",IF(E17="","",IFERROR("BTM-"&amp;LEFT(C17,3)&amp;"-"&amp;E17&amp;"-"&amp;TEXT(TODAY(),"YY")&amp;"-"&amp;TEXT(A17,"000"),"")))</f>
        <v/>
      </c>
      <c r="C17" s="26"/>
      <c r="D17" s="26"/>
      <c r="E17" s="26"/>
      <c r="F17" s="26"/>
      <c r="G17" s="26"/>
      <c r="H17" s="26"/>
      <c r="I17" s="26"/>
      <c r="J17" s="27" t="str">
        <f aca="false">IF(F17="","",IF(I17="","",F17*I17))</f>
        <v/>
      </c>
      <c r="K17" s="26"/>
      <c r="L17" s="26"/>
      <c r="M17" s="27" t="str">
        <f aca="false">IF(OR(J17="",L17="",K17=""),"",IFERROR((J17-K17-IF(O17="Adjust in Plan",N17,0))/L17,"-"))</f>
        <v/>
      </c>
      <c r="N17" s="28"/>
      <c r="O17" s="28"/>
      <c r="P17" s="27" t="n">
        <f aca="false">IFERROR(SUMIF(INSTALMENTS!$C:$C,B17,INSTALMENTS!$I:$I),0)</f>
        <v>0</v>
      </c>
      <c r="Q17" s="27" t="str">
        <f aca="false">IF(J17="","",J17-P17)</f>
        <v/>
      </c>
      <c r="R17" s="25" t="str">
        <f aca="true">IF(J17="","",IF(Q17&lt;=0,"✅ Completed",IF(IFERROR(SUMPRODUCT((INSTALMENTS!$C:$C=B17)*(INSTALMENTS!$F:$F&lt;TODAY())*(INSTALMENTS!$I:$I&lt;INSTALMENTS!$H:$H)),0)&gt;0,"🔴 Overdue","🟢 Active")))</f>
        <v/>
      </c>
      <c r="S17" s="26"/>
      <c r="T17" s="26"/>
      <c r="U17" s="26"/>
      <c r="V17" s="26"/>
      <c r="W17" s="26"/>
      <c r="X17" s="29"/>
      <c r="Y17" s="29"/>
      <c r="Z17" s="29"/>
      <c r="AA17" s="29"/>
      <c r="AB17" s="29"/>
      <c r="AC17" s="29"/>
      <c r="AD17" s="30"/>
      <c r="AE17" s="30"/>
      <c r="AF17" s="30"/>
      <c r="AG17" s="30"/>
      <c r="AH17" s="31"/>
      <c r="AI17" s="31"/>
      <c r="AJ17" s="31"/>
      <c r="AK17" s="31"/>
      <c r="AL17" s="31"/>
      <c r="AM17" s="31"/>
      <c r="AN17" s="26"/>
      <c r="AO17" s="26"/>
      <c r="AP17" s="26"/>
      <c r="AQ17" s="26"/>
      <c r="AR17" s="26"/>
      <c r="AS17" s="26"/>
      <c r="AT17" s="26"/>
      <c r="AU17" s="26"/>
      <c r="AV17" s="32"/>
    </row>
    <row r="18" customFormat="false" ht="15" hidden="false" customHeight="false" outlineLevel="0" collapsed="false">
      <c r="A18" s="24" t="n">
        <v>15</v>
      </c>
      <c r="B18" s="25" t="str">
        <f aca="true">IF(C18="","",IF(E18="","",IFERROR("BTM-"&amp;LEFT(C18,3)&amp;"-"&amp;E18&amp;"-"&amp;TEXT(TODAY(),"YY")&amp;"-"&amp;TEXT(A18,"000"),"")))</f>
        <v/>
      </c>
      <c r="C18" s="26"/>
      <c r="D18" s="26"/>
      <c r="E18" s="26"/>
      <c r="F18" s="26"/>
      <c r="G18" s="26"/>
      <c r="H18" s="26"/>
      <c r="I18" s="26"/>
      <c r="J18" s="27" t="str">
        <f aca="false">IF(F18="","",IF(I18="","",F18*I18))</f>
        <v/>
      </c>
      <c r="K18" s="26"/>
      <c r="L18" s="26"/>
      <c r="M18" s="27" t="str">
        <f aca="false">IF(OR(J18="",L18="",K18=""),"",IFERROR((J18-K18-IF(O18="Adjust in Plan",N18,0))/L18,"-"))</f>
        <v/>
      </c>
      <c r="N18" s="28"/>
      <c r="O18" s="28"/>
      <c r="P18" s="27" t="n">
        <f aca="false">IFERROR(SUMIF(INSTALMENTS!$C:$C,B18,INSTALMENTS!$I:$I),0)</f>
        <v>0</v>
      </c>
      <c r="Q18" s="27" t="str">
        <f aca="false">IF(J18="","",J18-P18)</f>
        <v/>
      </c>
      <c r="R18" s="25" t="str">
        <f aca="true">IF(J18="","",IF(Q18&lt;=0,"✅ Completed",IF(IFERROR(SUMPRODUCT((INSTALMENTS!$C:$C=B18)*(INSTALMENTS!$F:$F&lt;TODAY())*(INSTALMENTS!$I:$I&lt;INSTALMENTS!$H:$H)),0)&gt;0,"🔴 Overdue","🟢 Active")))</f>
        <v/>
      </c>
      <c r="S18" s="26"/>
      <c r="T18" s="26"/>
      <c r="U18" s="26"/>
      <c r="V18" s="26"/>
      <c r="W18" s="26"/>
      <c r="X18" s="29"/>
      <c r="Y18" s="29"/>
      <c r="Z18" s="29"/>
      <c r="AA18" s="29"/>
      <c r="AB18" s="29"/>
      <c r="AC18" s="29"/>
      <c r="AD18" s="30"/>
      <c r="AE18" s="30"/>
      <c r="AF18" s="30"/>
      <c r="AG18" s="30"/>
      <c r="AH18" s="31"/>
      <c r="AI18" s="31"/>
      <c r="AJ18" s="31"/>
      <c r="AK18" s="31"/>
      <c r="AL18" s="31"/>
      <c r="AM18" s="31"/>
      <c r="AN18" s="26"/>
      <c r="AO18" s="26"/>
      <c r="AP18" s="26"/>
      <c r="AQ18" s="26"/>
      <c r="AR18" s="26"/>
      <c r="AS18" s="26"/>
      <c r="AT18" s="26"/>
      <c r="AU18" s="26"/>
      <c r="AV18" s="32"/>
    </row>
    <row r="19" customFormat="false" ht="15" hidden="false" customHeight="false" outlineLevel="0" collapsed="false">
      <c r="A19" s="24" t="n">
        <v>16</v>
      </c>
      <c r="B19" s="25" t="str">
        <f aca="true">IF(C19="","",IF(E19="","",IFERROR("BTM-"&amp;LEFT(C19,3)&amp;"-"&amp;E19&amp;"-"&amp;TEXT(TODAY(),"YY")&amp;"-"&amp;TEXT(A19,"000"),"")))</f>
        <v/>
      </c>
      <c r="C19" s="26"/>
      <c r="D19" s="26"/>
      <c r="E19" s="26"/>
      <c r="F19" s="26"/>
      <c r="G19" s="26"/>
      <c r="H19" s="26"/>
      <c r="I19" s="26"/>
      <c r="J19" s="27" t="str">
        <f aca="false">IF(F19="","",IF(I19="","",F19*I19))</f>
        <v/>
      </c>
      <c r="K19" s="26"/>
      <c r="L19" s="26"/>
      <c r="M19" s="27" t="str">
        <f aca="false">IF(OR(J19="",L19="",K19=""),"",IFERROR((J19-K19-IF(O19="Adjust in Plan",N19,0))/L19,"-"))</f>
        <v/>
      </c>
      <c r="N19" s="28"/>
      <c r="O19" s="28"/>
      <c r="P19" s="27" t="n">
        <f aca="false">IFERROR(SUMIF(INSTALMENTS!$C:$C,B19,INSTALMENTS!$I:$I),0)</f>
        <v>0</v>
      </c>
      <c r="Q19" s="27" t="str">
        <f aca="false">IF(J19="","",J19-P19)</f>
        <v/>
      </c>
      <c r="R19" s="25" t="str">
        <f aca="true">IF(J19="","",IF(Q19&lt;=0,"✅ Completed",IF(IFERROR(SUMPRODUCT((INSTALMENTS!$C:$C=B19)*(INSTALMENTS!$F:$F&lt;TODAY())*(INSTALMENTS!$I:$I&lt;INSTALMENTS!$H:$H)),0)&gt;0,"🔴 Overdue","🟢 Active")))</f>
        <v/>
      </c>
      <c r="S19" s="26"/>
      <c r="T19" s="26"/>
      <c r="U19" s="26"/>
      <c r="V19" s="26"/>
      <c r="W19" s="26"/>
      <c r="X19" s="29"/>
      <c r="Y19" s="29"/>
      <c r="Z19" s="29"/>
      <c r="AA19" s="29"/>
      <c r="AB19" s="29"/>
      <c r="AC19" s="29"/>
      <c r="AD19" s="30"/>
      <c r="AE19" s="30"/>
      <c r="AF19" s="30"/>
      <c r="AG19" s="30"/>
      <c r="AH19" s="31"/>
      <c r="AI19" s="31"/>
      <c r="AJ19" s="31"/>
      <c r="AK19" s="31"/>
      <c r="AL19" s="31"/>
      <c r="AM19" s="31"/>
      <c r="AN19" s="26"/>
      <c r="AO19" s="26"/>
      <c r="AP19" s="26"/>
      <c r="AQ19" s="26"/>
      <c r="AR19" s="26"/>
      <c r="AS19" s="26"/>
      <c r="AT19" s="26"/>
      <c r="AU19" s="26"/>
      <c r="AV19" s="32"/>
    </row>
    <row r="20" customFormat="false" ht="15" hidden="false" customHeight="false" outlineLevel="0" collapsed="false">
      <c r="A20" s="24" t="n">
        <v>17</v>
      </c>
      <c r="B20" s="25" t="str">
        <f aca="true">IF(C20="","",IF(E20="","",IFERROR("BTM-"&amp;LEFT(C20,3)&amp;"-"&amp;E20&amp;"-"&amp;TEXT(TODAY(),"YY")&amp;"-"&amp;TEXT(A20,"000"),"")))</f>
        <v/>
      </c>
      <c r="C20" s="26"/>
      <c r="D20" s="26"/>
      <c r="E20" s="26"/>
      <c r="F20" s="26"/>
      <c r="G20" s="26"/>
      <c r="H20" s="26"/>
      <c r="I20" s="26"/>
      <c r="J20" s="27" t="str">
        <f aca="false">IF(F20="","",IF(I20="","",F20*I20))</f>
        <v/>
      </c>
      <c r="K20" s="26"/>
      <c r="L20" s="26"/>
      <c r="M20" s="27" t="str">
        <f aca="false">IF(OR(J20="",L20="",K20=""),"",IFERROR((J20-K20-IF(O20="Adjust in Plan",N20,0))/L20,"-"))</f>
        <v/>
      </c>
      <c r="N20" s="28"/>
      <c r="O20" s="28"/>
      <c r="P20" s="27" t="n">
        <f aca="false">IFERROR(SUMIF(INSTALMENTS!$C:$C,B20,INSTALMENTS!$I:$I),0)</f>
        <v>0</v>
      </c>
      <c r="Q20" s="27" t="str">
        <f aca="false">IF(J20="","",J20-P20)</f>
        <v/>
      </c>
      <c r="R20" s="25" t="str">
        <f aca="true">IF(J20="","",IF(Q20&lt;=0,"✅ Completed",IF(IFERROR(SUMPRODUCT((INSTALMENTS!$C:$C=B20)*(INSTALMENTS!$F:$F&lt;TODAY())*(INSTALMENTS!$I:$I&lt;INSTALMENTS!$H:$H)),0)&gt;0,"🔴 Overdue","🟢 Active")))</f>
        <v/>
      </c>
      <c r="S20" s="26"/>
      <c r="T20" s="26"/>
      <c r="U20" s="26"/>
      <c r="V20" s="26"/>
      <c r="W20" s="26"/>
      <c r="X20" s="29"/>
      <c r="Y20" s="29"/>
      <c r="Z20" s="29"/>
      <c r="AA20" s="29"/>
      <c r="AB20" s="29"/>
      <c r="AC20" s="29"/>
      <c r="AD20" s="30"/>
      <c r="AE20" s="30"/>
      <c r="AF20" s="30"/>
      <c r="AG20" s="30"/>
      <c r="AH20" s="31"/>
      <c r="AI20" s="31"/>
      <c r="AJ20" s="31"/>
      <c r="AK20" s="31"/>
      <c r="AL20" s="31"/>
      <c r="AM20" s="31"/>
      <c r="AN20" s="26"/>
      <c r="AO20" s="26"/>
      <c r="AP20" s="26"/>
      <c r="AQ20" s="26"/>
      <c r="AR20" s="26"/>
      <c r="AS20" s="26"/>
      <c r="AT20" s="26"/>
      <c r="AU20" s="26"/>
      <c r="AV20" s="32"/>
    </row>
    <row r="21" customFormat="false" ht="15" hidden="false" customHeight="false" outlineLevel="0" collapsed="false">
      <c r="A21" s="24" t="n">
        <v>18</v>
      </c>
      <c r="B21" s="25" t="str">
        <f aca="true">IF(C21="","",IF(E21="","",IFERROR("BTM-"&amp;LEFT(C21,3)&amp;"-"&amp;E21&amp;"-"&amp;TEXT(TODAY(),"YY")&amp;"-"&amp;TEXT(A21,"000"),"")))</f>
        <v/>
      </c>
      <c r="C21" s="26"/>
      <c r="D21" s="26"/>
      <c r="E21" s="26"/>
      <c r="F21" s="26"/>
      <c r="G21" s="26"/>
      <c r="H21" s="26"/>
      <c r="I21" s="26"/>
      <c r="J21" s="27" t="str">
        <f aca="false">IF(F21="","",IF(I21="","",F21*I21))</f>
        <v/>
      </c>
      <c r="K21" s="26"/>
      <c r="L21" s="26"/>
      <c r="M21" s="27" t="str">
        <f aca="false">IF(OR(J21="",L21="",K21=""),"",IFERROR((J21-K21-IF(O21="Adjust in Plan",N21,0))/L21,"-"))</f>
        <v/>
      </c>
      <c r="N21" s="28"/>
      <c r="O21" s="28"/>
      <c r="P21" s="27" t="n">
        <f aca="false">IFERROR(SUMIF(INSTALMENTS!$C:$C,B21,INSTALMENTS!$I:$I),0)</f>
        <v>0</v>
      </c>
      <c r="Q21" s="27" t="str">
        <f aca="false">IF(J21="","",J21-P21)</f>
        <v/>
      </c>
      <c r="R21" s="25" t="str">
        <f aca="true">IF(J21="","",IF(Q21&lt;=0,"✅ Completed",IF(IFERROR(SUMPRODUCT((INSTALMENTS!$C:$C=B21)*(INSTALMENTS!$F:$F&lt;TODAY())*(INSTALMENTS!$I:$I&lt;INSTALMENTS!$H:$H)),0)&gt;0,"🔴 Overdue","🟢 Active")))</f>
        <v/>
      </c>
      <c r="S21" s="26"/>
      <c r="T21" s="26"/>
      <c r="U21" s="26"/>
      <c r="V21" s="26"/>
      <c r="W21" s="26"/>
      <c r="X21" s="29"/>
      <c r="Y21" s="29"/>
      <c r="Z21" s="29"/>
      <c r="AA21" s="29"/>
      <c r="AB21" s="29"/>
      <c r="AC21" s="29"/>
      <c r="AD21" s="30"/>
      <c r="AE21" s="30"/>
      <c r="AF21" s="30"/>
      <c r="AG21" s="30"/>
      <c r="AH21" s="31"/>
      <c r="AI21" s="31"/>
      <c r="AJ21" s="31"/>
      <c r="AK21" s="31"/>
      <c r="AL21" s="31"/>
      <c r="AM21" s="31"/>
      <c r="AN21" s="26"/>
      <c r="AO21" s="26"/>
      <c r="AP21" s="26"/>
      <c r="AQ21" s="26"/>
      <c r="AR21" s="26"/>
      <c r="AS21" s="26"/>
      <c r="AT21" s="26"/>
      <c r="AU21" s="26"/>
      <c r="AV21" s="32"/>
    </row>
    <row r="22" customFormat="false" ht="15" hidden="false" customHeight="false" outlineLevel="0" collapsed="false">
      <c r="A22" s="24" t="n">
        <v>19</v>
      </c>
      <c r="B22" s="25" t="str">
        <f aca="true">IF(C22="","",IF(E22="","",IFERROR("BTM-"&amp;LEFT(C22,3)&amp;"-"&amp;E22&amp;"-"&amp;TEXT(TODAY(),"YY")&amp;"-"&amp;TEXT(A22,"000"),"")))</f>
        <v/>
      </c>
      <c r="C22" s="26"/>
      <c r="D22" s="26"/>
      <c r="E22" s="26"/>
      <c r="F22" s="26"/>
      <c r="G22" s="26"/>
      <c r="H22" s="26"/>
      <c r="I22" s="26"/>
      <c r="J22" s="27" t="str">
        <f aca="false">IF(F22="","",IF(I22="","",F22*I22))</f>
        <v/>
      </c>
      <c r="K22" s="26"/>
      <c r="L22" s="26"/>
      <c r="M22" s="27" t="str">
        <f aca="false">IF(OR(J22="",L22="",K22=""),"",IFERROR((J22-K22-IF(O22="Adjust in Plan",N22,0))/L22,"-"))</f>
        <v/>
      </c>
      <c r="N22" s="28"/>
      <c r="O22" s="28"/>
      <c r="P22" s="27" t="n">
        <f aca="false">IFERROR(SUMIF(INSTALMENTS!$C:$C,B22,INSTALMENTS!$I:$I),0)</f>
        <v>0</v>
      </c>
      <c r="Q22" s="27" t="str">
        <f aca="false">IF(J22="","",J22-P22)</f>
        <v/>
      </c>
      <c r="R22" s="25" t="str">
        <f aca="true">IF(J22="","",IF(Q22&lt;=0,"✅ Completed",IF(IFERROR(SUMPRODUCT((INSTALMENTS!$C:$C=B22)*(INSTALMENTS!$F:$F&lt;TODAY())*(INSTALMENTS!$I:$I&lt;INSTALMENTS!$H:$H)),0)&gt;0,"🔴 Overdue","🟢 Active")))</f>
        <v/>
      </c>
      <c r="S22" s="26"/>
      <c r="T22" s="26"/>
      <c r="U22" s="26"/>
      <c r="V22" s="26"/>
      <c r="W22" s="26"/>
      <c r="X22" s="29"/>
      <c r="Y22" s="29"/>
      <c r="Z22" s="29"/>
      <c r="AA22" s="29"/>
      <c r="AB22" s="29"/>
      <c r="AC22" s="29"/>
      <c r="AD22" s="30"/>
      <c r="AE22" s="30"/>
      <c r="AF22" s="30"/>
      <c r="AG22" s="30"/>
      <c r="AH22" s="31"/>
      <c r="AI22" s="31"/>
      <c r="AJ22" s="31"/>
      <c r="AK22" s="31"/>
      <c r="AL22" s="31"/>
      <c r="AM22" s="31"/>
      <c r="AN22" s="26"/>
      <c r="AO22" s="26"/>
      <c r="AP22" s="26"/>
      <c r="AQ22" s="26"/>
      <c r="AR22" s="26"/>
      <c r="AS22" s="26"/>
      <c r="AT22" s="26"/>
      <c r="AU22" s="26"/>
      <c r="AV22" s="32"/>
    </row>
    <row r="23" customFormat="false" ht="15" hidden="false" customHeight="false" outlineLevel="0" collapsed="false">
      <c r="A23" s="24" t="n">
        <v>20</v>
      </c>
      <c r="B23" s="25" t="str">
        <f aca="true">IF(C23="","",IF(E23="","",IFERROR("BTM-"&amp;LEFT(C23,3)&amp;"-"&amp;E23&amp;"-"&amp;TEXT(TODAY(),"YY")&amp;"-"&amp;TEXT(A23,"000"),"")))</f>
        <v/>
      </c>
      <c r="C23" s="26"/>
      <c r="D23" s="26"/>
      <c r="E23" s="26"/>
      <c r="F23" s="26"/>
      <c r="G23" s="26"/>
      <c r="H23" s="26"/>
      <c r="I23" s="26"/>
      <c r="J23" s="27" t="str">
        <f aca="false">IF(F23="","",IF(I23="","",F23*I23))</f>
        <v/>
      </c>
      <c r="K23" s="26"/>
      <c r="L23" s="26"/>
      <c r="M23" s="27" t="str">
        <f aca="false">IF(OR(J23="",L23="",K23=""),"",IFERROR((J23-K23-IF(O23="Adjust in Plan",N23,0))/L23,"-"))</f>
        <v/>
      </c>
      <c r="N23" s="28"/>
      <c r="O23" s="28"/>
      <c r="P23" s="27" t="n">
        <f aca="false">IFERROR(SUMIF(INSTALMENTS!$C:$C,B23,INSTALMENTS!$I:$I),0)</f>
        <v>0</v>
      </c>
      <c r="Q23" s="27" t="str">
        <f aca="false">IF(J23="","",J23-P23)</f>
        <v/>
      </c>
      <c r="R23" s="25" t="str">
        <f aca="true">IF(J23="","",IF(Q23&lt;=0,"✅ Completed",IF(IFERROR(SUMPRODUCT((INSTALMENTS!$C:$C=B23)*(INSTALMENTS!$F:$F&lt;TODAY())*(INSTALMENTS!$I:$I&lt;INSTALMENTS!$H:$H)),0)&gt;0,"🔴 Overdue","🟢 Active")))</f>
        <v/>
      </c>
      <c r="S23" s="26"/>
      <c r="T23" s="26"/>
      <c r="U23" s="26"/>
      <c r="V23" s="26"/>
      <c r="W23" s="26"/>
      <c r="X23" s="29"/>
      <c r="Y23" s="29"/>
      <c r="Z23" s="29"/>
      <c r="AA23" s="29"/>
      <c r="AB23" s="29"/>
      <c r="AC23" s="29"/>
      <c r="AD23" s="30"/>
      <c r="AE23" s="30"/>
      <c r="AF23" s="30"/>
      <c r="AG23" s="30"/>
      <c r="AH23" s="31"/>
      <c r="AI23" s="31"/>
      <c r="AJ23" s="31"/>
      <c r="AK23" s="31"/>
      <c r="AL23" s="31"/>
      <c r="AM23" s="31"/>
      <c r="AN23" s="26"/>
      <c r="AO23" s="26"/>
      <c r="AP23" s="26"/>
      <c r="AQ23" s="26"/>
      <c r="AR23" s="26"/>
      <c r="AS23" s="26"/>
      <c r="AT23" s="26"/>
      <c r="AU23" s="26"/>
      <c r="AV23" s="32"/>
    </row>
    <row r="24" customFormat="false" ht="15" hidden="false" customHeight="false" outlineLevel="0" collapsed="false">
      <c r="A24" s="24" t="n">
        <v>21</v>
      </c>
      <c r="B24" s="25" t="str">
        <f aca="true">IF(C24="","",IF(E24="","",IFERROR("BTM-"&amp;LEFT(C24,3)&amp;"-"&amp;E24&amp;"-"&amp;TEXT(TODAY(),"YY")&amp;"-"&amp;TEXT(A24,"000"),"")))</f>
        <v/>
      </c>
      <c r="C24" s="26"/>
      <c r="D24" s="26"/>
      <c r="E24" s="26"/>
      <c r="F24" s="26"/>
      <c r="G24" s="26"/>
      <c r="H24" s="26"/>
      <c r="I24" s="26"/>
      <c r="J24" s="27" t="str">
        <f aca="false">IF(F24="","",IF(I24="","",F24*I24))</f>
        <v/>
      </c>
      <c r="K24" s="26"/>
      <c r="L24" s="26"/>
      <c r="M24" s="27" t="str">
        <f aca="false">IF(OR(J24="",L24="",K24=""),"",IFERROR((J24-K24-IF(O24="Adjust in Plan",N24,0))/L24,"-"))</f>
        <v/>
      </c>
      <c r="N24" s="28"/>
      <c r="O24" s="28"/>
      <c r="P24" s="27" t="n">
        <f aca="false">IFERROR(SUMIF(INSTALMENTS!$C:$C,B24,INSTALMENTS!$I:$I),0)</f>
        <v>0</v>
      </c>
      <c r="Q24" s="27" t="str">
        <f aca="false">IF(J24="","",J24-P24)</f>
        <v/>
      </c>
      <c r="R24" s="25" t="str">
        <f aca="true">IF(J24="","",IF(Q24&lt;=0,"✅ Completed",IF(IFERROR(SUMPRODUCT((INSTALMENTS!$C:$C=B24)*(INSTALMENTS!$F:$F&lt;TODAY())*(INSTALMENTS!$I:$I&lt;INSTALMENTS!$H:$H)),0)&gt;0,"🔴 Overdue","🟢 Active")))</f>
        <v/>
      </c>
      <c r="S24" s="26"/>
      <c r="T24" s="26"/>
      <c r="U24" s="26"/>
      <c r="V24" s="26"/>
      <c r="W24" s="26"/>
      <c r="X24" s="29"/>
      <c r="Y24" s="29"/>
      <c r="Z24" s="29"/>
      <c r="AA24" s="29"/>
      <c r="AB24" s="29"/>
      <c r="AC24" s="29"/>
      <c r="AD24" s="30"/>
      <c r="AE24" s="30"/>
      <c r="AF24" s="30"/>
      <c r="AG24" s="30"/>
      <c r="AH24" s="31"/>
      <c r="AI24" s="31"/>
      <c r="AJ24" s="31"/>
      <c r="AK24" s="31"/>
      <c r="AL24" s="31"/>
      <c r="AM24" s="31"/>
      <c r="AN24" s="26"/>
      <c r="AO24" s="26"/>
      <c r="AP24" s="26"/>
      <c r="AQ24" s="26"/>
      <c r="AR24" s="26"/>
      <c r="AS24" s="26"/>
      <c r="AT24" s="26"/>
      <c r="AU24" s="26"/>
      <c r="AV24" s="32"/>
    </row>
    <row r="25" customFormat="false" ht="15" hidden="false" customHeight="false" outlineLevel="0" collapsed="false">
      <c r="A25" s="24" t="n">
        <v>22</v>
      </c>
      <c r="B25" s="25" t="str">
        <f aca="true">IF(C25="","",IF(E25="","",IFERROR("BTM-"&amp;LEFT(C25,3)&amp;"-"&amp;E25&amp;"-"&amp;TEXT(TODAY(),"YY")&amp;"-"&amp;TEXT(A25,"000"),"")))</f>
        <v/>
      </c>
      <c r="C25" s="26"/>
      <c r="D25" s="26"/>
      <c r="E25" s="26"/>
      <c r="F25" s="26"/>
      <c r="G25" s="26"/>
      <c r="H25" s="26"/>
      <c r="I25" s="26"/>
      <c r="J25" s="27" t="str">
        <f aca="false">IF(F25="","",IF(I25="","",F25*I25))</f>
        <v/>
      </c>
      <c r="K25" s="26"/>
      <c r="L25" s="26"/>
      <c r="M25" s="27" t="str">
        <f aca="false">IF(OR(J25="",L25="",K25=""),"",IFERROR((J25-K25-IF(O25="Adjust in Plan",N25,0))/L25,"-"))</f>
        <v/>
      </c>
      <c r="N25" s="28"/>
      <c r="O25" s="28"/>
      <c r="P25" s="27" t="n">
        <f aca="false">IFERROR(SUMIF(INSTALMENTS!$C:$C,B25,INSTALMENTS!$I:$I),0)</f>
        <v>0</v>
      </c>
      <c r="Q25" s="27" t="str">
        <f aca="false">IF(J25="","",J25-P25)</f>
        <v/>
      </c>
      <c r="R25" s="25" t="str">
        <f aca="true">IF(J25="","",IF(Q25&lt;=0,"✅ Completed",IF(IFERROR(SUMPRODUCT((INSTALMENTS!$C:$C=B25)*(INSTALMENTS!$F:$F&lt;TODAY())*(INSTALMENTS!$I:$I&lt;INSTALMENTS!$H:$H)),0)&gt;0,"🔴 Overdue","🟢 Active")))</f>
        <v/>
      </c>
      <c r="S25" s="26"/>
      <c r="T25" s="26"/>
      <c r="U25" s="26"/>
      <c r="V25" s="26"/>
      <c r="W25" s="26"/>
      <c r="X25" s="29"/>
      <c r="Y25" s="29"/>
      <c r="Z25" s="29"/>
      <c r="AA25" s="29"/>
      <c r="AB25" s="29"/>
      <c r="AC25" s="29"/>
      <c r="AD25" s="30"/>
      <c r="AE25" s="30"/>
      <c r="AF25" s="30"/>
      <c r="AG25" s="30"/>
      <c r="AH25" s="31"/>
      <c r="AI25" s="31"/>
      <c r="AJ25" s="31"/>
      <c r="AK25" s="31"/>
      <c r="AL25" s="31"/>
      <c r="AM25" s="31"/>
      <c r="AN25" s="26"/>
      <c r="AO25" s="26"/>
      <c r="AP25" s="26"/>
      <c r="AQ25" s="26"/>
      <c r="AR25" s="26"/>
      <c r="AS25" s="26"/>
      <c r="AT25" s="26"/>
      <c r="AU25" s="26"/>
      <c r="AV25" s="32"/>
    </row>
    <row r="26" customFormat="false" ht="15" hidden="false" customHeight="false" outlineLevel="0" collapsed="false">
      <c r="A26" s="24" t="n">
        <v>23</v>
      </c>
      <c r="B26" s="25" t="str">
        <f aca="true">IF(C26="","",IF(E26="","",IFERROR("BTM-"&amp;LEFT(C26,3)&amp;"-"&amp;E26&amp;"-"&amp;TEXT(TODAY(),"YY")&amp;"-"&amp;TEXT(A26,"000"),"")))</f>
        <v/>
      </c>
      <c r="C26" s="26"/>
      <c r="D26" s="26"/>
      <c r="E26" s="26"/>
      <c r="F26" s="26"/>
      <c r="G26" s="26"/>
      <c r="H26" s="26"/>
      <c r="I26" s="26"/>
      <c r="J26" s="27" t="str">
        <f aca="false">IF(F26="","",IF(I26="","",F26*I26))</f>
        <v/>
      </c>
      <c r="K26" s="26"/>
      <c r="L26" s="26"/>
      <c r="M26" s="27" t="str">
        <f aca="false">IF(OR(J26="",L26="",K26=""),"",IFERROR((J26-K26-IF(O26="Adjust in Plan",N26,0))/L26,"-"))</f>
        <v/>
      </c>
      <c r="N26" s="28"/>
      <c r="O26" s="28"/>
      <c r="P26" s="27" t="n">
        <f aca="false">IFERROR(SUMIF(INSTALMENTS!$C:$C,B26,INSTALMENTS!$I:$I),0)</f>
        <v>0</v>
      </c>
      <c r="Q26" s="27" t="str">
        <f aca="false">IF(J26="","",J26-P26)</f>
        <v/>
      </c>
      <c r="R26" s="25" t="str">
        <f aca="true">IF(J26="","",IF(Q26&lt;=0,"✅ Completed",IF(IFERROR(SUMPRODUCT((INSTALMENTS!$C:$C=B26)*(INSTALMENTS!$F:$F&lt;TODAY())*(INSTALMENTS!$I:$I&lt;INSTALMENTS!$H:$H)),0)&gt;0,"🔴 Overdue","🟢 Active")))</f>
        <v/>
      </c>
      <c r="S26" s="26"/>
      <c r="T26" s="26"/>
      <c r="U26" s="26"/>
      <c r="V26" s="26"/>
      <c r="W26" s="26"/>
      <c r="X26" s="29"/>
      <c r="Y26" s="29"/>
      <c r="Z26" s="29"/>
      <c r="AA26" s="29"/>
      <c r="AB26" s="29"/>
      <c r="AC26" s="29"/>
      <c r="AD26" s="30"/>
      <c r="AE26" s="30"/>
      <c r="AF26" s="30"/>
      <c r="AG26" s="30"/>
      <c r="AH26" s="31"/>
      <c r="AI26" s="31"/>
      <c r="AJ26" s="31"/>
      <c r="AK26" s="31"/>
      <c r="AL26" s="31"/>
      <c r="AM26" s="31"/>
      <c r="AN26" s="26"/>
      <c r="AO26" s="26"/>
      <c r="AP26" s="26"/>
      <c r="AQ26" s="26"/>
      <c r="AR26" s="26"/>
      <c r="AS26" s="26"/>
      <c r="AT26" s="26"/>
      <c r="AU26" s="26"/>
      <c r="AV26" s="32"/>
    </row>
    <row r="27" customFormat="false" ht="15" hidden="false" customHeight="false" outlineLevel="0" collapsed="false">
      <c r="A27" s="24" t="n">
        <v>24</v>
      </c>
      <c r="B27" s="25" t="str">
        <f aca="true">IF(C27="","",IF(E27="","",IFERROR("BTM-"&amp;LEFT(C27,3)&amp;"-"&amp;E27&amp;"-"&amp;TEXT(TODAY(),"YY")&amp;"-"&amp;TEXT(A27,"000"),"")))</f>
        <v/>
      </c>
      <c r="C27" s="26"/>
      <c r="D27" s="26"/>
      <c r="E27" s="26"/>
      <c r="F27" s="26"/>
      <c r="G27" s="26"/>
      <c r="H27" s="26"/>
      <c r="I27" s="26"/>
      <c r="J27" s="27" t="str">
        <f aca="false">IF(F27="","",IF(I27="","",F27*I27))</f>
        <v/>
      </c>
      <c r="K27" s="26"/>
      <c r="L27" s="26"/>
      <c r="M27" s="27" t="str">
        <f aca="false">IF(OR(J27="",L27="",K27=""),"",IFERROR((J27-K27-IF(O27="Adjust in Plan",N27,0))/L27,"-"))</f>
        <v/>
      </c>
      <c r="N27" s="28"/>
      <c r="O27" s="28"/>
      <c r="P27" s="27" t="n">
        <f aca="false">IFERROR(SUMIF(INSTALMENTS!$C:$C,B27,INSTALMENTS!$I:$I),0)</f>
        <v>0</v>
      </c>
      <c r="Q27" s="27" t="str">
        <f aca="false">IF(J27="","",J27-P27)</f>
        <v/>
      </c>
      <c r="R27" s="25" t="str">
        <f aca="true">IF(J27="","",IF(Q27&lt;=0,"✅ Completed",IF(IFERROR(SUMPRODUCT((INSTALMENTS!$C:$C=B27)*(INSTALMENTS!$F:$F&lt;TODAY())*(INSTALMENTS!$I:$I&lt;INSTALMENTS!$H:$H)),0)&gt;0,"🔴 Overdue","🟢 Active")))</f>
        <v/>
      </c>
      <c r="S27" s="26"/>
      <c r="T27" s="26"/>
      <c r="U27" s="26"/>
      <c r="V27" s="26"/>
      <c r="W27" s="26"/>
      <c r="X27" s="29"/>
      <c r="Y27" s="29"/>
      <c r="Z27" s="29"/>
      <c r="AA27" s="29"/>
      <c r="AB27" s="29"/>
      <c r="AC27" s="29"/>
      <c r="AD27" s="30"/>
      <c r="AE27" s="30"/>
      <c r="AF27" s="30"/>
      <c r="AG27" s="30"/>
      <c r="AH27" s="31"/>
      <c r="AI27" s="31"/>
      <c r="AJ27" s="31"/>
      <c r="AK27" s="31"/>
      <c r="AL27" s="31"/>
      <c r="AM27" s="31"/>
      <c r="AN27" s="26"/>
      <c r="AO27" s="26"/>
      <c r="AP27" s="26"/>
      <c r="AQ27" s="26"/>
      <c r="AR27" s="26"/>
      <c r="AS27" s="26"/>
      <c r="AT27" s="26"/>
      <c r="AU27" s="26"/>
      <c r="AV27" s="32"/>
    </row>
    <row r="28" customFormat="false" ht="15" hidden="false" customHeight="false" outlineLevel="0" collapsed="false">
      <c r="A28" s="24" t="n">
        <v>25</v>
      </c>
      <c r="B28" s="25" t="str">
        <f aca="true">IF(C28="","",IF(E28="","",IFERROR("BTM-"&amp;LEFT(C28,3)&amp;"-"&amp;E28&amp;"-"&amp;TEXT(TODAY(),"YY")&amp;"-"&amp;TEXT(A28,"000"),"")))</f>
        <v/>
      </c>
      <c r="C28" s="26"/>
      <c r="D28" s="26"/>
      <c r="E28" s="26"/>
      <c r="F28" s="26"/>
      <c r="G28" s="26"/>
      <c r="H28" s="26"/>
      <c r="I28" s="26"/>
      <c r="J28" s="27" t="str">
        <f aca="false">IF(F28="","",IF(I28="","",F28*I28))</f>
        <v/>
      </c>
      <c r="K28" s="26"/>
      <c r="L28" s="26"/>
      <c r="M28" s="27" t="str">
        <f aca="false">IF(OR(J28="",L28="",K28=""),"",IFERROR((J28-K28-IF(O28="Adjust in Plan",N28,0))/L28,"-"))</f>
        <v/>
      </c>
      <c r="N28" s="28"/>
      <c r="O28" s="28"/>
      <c r="P28" s="27" t="n">
        <f aca="false">IFERROR(SUMIF(INSTALMENTS!$C:$C,B28,INSTALMENTS!$I:$I),0)</f>
        <v>0</v>
      </c>
      <c r="Q28" s="27" t="str">
        <f aca="false">IF(J28="","",J28-P28)</f>
        <v/>
      </c>
      <c r="R28" s="25" t="str">
        <f aca="true">IF(J28="","",IF(Q28&lt;=0,"✅ Completed",IF(IFERROR(SUMPRODUCT((INSTALMENTS!$C:$C=B28)*(INSTALMENTS!$F:$F&lt;TODAY())*(INSTALMENTS!$I:$I&lt;INSTALMENTS!$H:$H)),0)&gt;0,"🔴 Overdue","🟢 Active")))</f>
        <v/>
      </c>
      <c r="S28" s="26"/>
      <c r="T28" s="26"/>
      <c r="U28" s="26"/>
      <c r="V28" s="26"/>
      <c r="W28" s="26"/>
      <c r="X28" s="29"/>
      <c r="Y28" s="29"/>
      <c r="Z28" s="29"/>
      <c r="AA28" s="29"/>
      <c r="AB28" s="29"/>
      <c r="AC28" s="29"/>
      <c r="AD28" s="30"/>
      <c r="AE28" s="30"/>
      <c r="AF28" s="30"/>
      <c r="AG28" s="30"/>
      <c r="AH28" s="31"/>
      <c r="AI28" s="31"/>
      <c r="AJ28" s="31"/>
      <c r="AK28" s="31"/>
      <c r="AL28" s="31"/>
      <c r="AM28" s="31"/>
      <c r="AN28" s="26"/>
      <c r="AO28" s="26"/>
      <c r="AP28" s="26"/>
      <c r="AQ28" s="26"/>
      <c r="AR28" s="26"/>
      <c r="AS28" s="26"/>
      <c r="AT28" s="26"/>
      <c r="AU28" s="26"/>
      <c r="AV28" s="32"/>
    </row>
    <row r="29" customFormat="false" ht="15" hidden="false" customHeight="false" outlineLevel="0" collapsed="false">
      <c r="A29" s="24" t="n">
        <v>26</v>
      </c>
      <c r="B29" s="25" t="str">
        <f aca="true">IF(C29="","",IF(E29="","",IFERROR("BTM-"&amp;LEFT(C29,3)&amp;"-"&amp;E29&amp;"-"&amp;TEXT(TODAY(),"YY")&amp;"-"&amp;TEXT(A29,"000"),"")))</f>
        <v/>
      </c>
      <c r="C29" s="26"/>
      <c r="D29" s="26"/>
      <c r="E29" s="26"/>
      <c r="F29" s="26"/>
      <c r="G29" s="26"/>
      <c r="H29" s="26"/>
      <c r="I29" s="26"/>
      <c r="J29" s="27" t="str">
        <f aca="false">IF(F29="","",IF(I29="","",F29*I29))</f>
        <v/>
      </c>
      <c r="K29" s="26"/>
      <c r="L29" s="26"/>
      <c r="M29" s="27" t="str">
        <f aca="false">IF(OR(J29="",L29="",K29=""),"",IFERROR((J29-K29-IF(O29="Adjust in Plan",N29,0))/L29,"-"))</f>
        <v/>
      </c>
      <c r="N29" s="28"/>
      <c r="O29" s="28"/>
      <c r="P29" s="27" t="n">
        <f aca="false">IFERROR(SUMIF(INSTALMENTS!$C:$C,B29,INSTALMENTS!$I:$I),0)</f>
        <v>0</v>
      </c>
      <c r="Q29" s="27" t="str">
        <f aca="false">IF(J29="","",J29-P29)</f>
        <v/>
      </c>
      <c r="R29" s="25" t="str">
        <f aca="true">IF(J29="","",IF(Q29&lt;=0,"✅ Completed",IF(IFERROR(SUMPRODUCT((INSTALMENTS!$C:$C=B29)*(INSTALMENTS!$F:$F&lt;TODAY())*(INSTALMENTS!$I:$I&lt;INSTALMENTS!$H:$H)),0)&gt;0,"🔴 Overdue","🟢 Active")))</f>
        <v/>
      </c>
      <c r="S29" s="26"/>
      <c r="T29" s="26"/>
      <c r="U29" s="26"/>
      <c r="V29" s="26"/>
      <c r="W29" s="26"/>
      <c r="X29" s="29"/>
      <c r="Y29" s="29"/>
      <c r="Z29" s="29"/>
      <c r="AA29" s="29"/>
      <c r="AB29" s="29"/>
      <c r="AC29" s="29"/>
      <c r="AD29" s="30"/>
      <c r="AE29" s="30"/>
      <c r="AF29" s="30"/>
      <c r="AG29" s="30"/>
      <c r="AH29" s="31"/>
      <c r="AI29" s="31"/>
      <c r="AJ29" s="31"/>
      <c r="AK29" s="31"/>
      <c r="AL29" s="31"/>
      <c r="AM29" s="31"/>
      <c r="AN29" s="26"/>
      <c r="AO29" s="26"/>
      <c r="AP29" s="26"/>
      <c r="AQ29" s="26"/>
      <c r="AR29" s="26"/>
      <c r="AS29" s="26"/>
      <c r="AT29" s="26"/>
      <c r="AU29" s="26"/>
      <c r="AV29" s="32"/>
    </row>
    <row r="30" customFormat="false" ht="15" hidden="false" customHeight="false" outlineLevel="0" collapsed="false">
      <c r="A30" s="24" t="n">
        <v>27</v>
      </c>
      <c r="B30" s="25" t="str">
        <f aca="true">IF(C30="","",IF(E30="","",IFERROR("BTM-"&amp;LEFT(C30,3)&amp;"-"&amp;E30&amp;"-"&amp;TEXT(TODAY(),"YY")&amp;"-"&amp;TEXT(A30,"000"),"")))</f>
        <v/>
      </c>
      <c r="C30" s="26"/>
      <c r="D30" s="26"/>
      <c r="E30" s="26"/>
      <c r="F30" s="26"/>
      <c r="G30" s="26"/>
      <c r="H30" s="26"/>
      <c r="I30" s="26"/>
      <c r="J30" s="27" t="str">
        <f aca="false">IF(F30="","",IF(I30="","",F30*I30))</f>
        <v/>
      </c>
      <c r="K30" s="26"/>
      <c r="L30" s="26"/>
      <c r="M30" s="27" t="str">
        <f aca="false">IF(OR(J30="",L30="",K30=""),"",IFERROR((J30-K30-IF(O30="Adjust in Plan",N30,0))/L30,"-"))</f>
        <v/>
      </c>
      <c r="N30" s="28"/>
      <c r="O30" s="28"/>
      <c r="P30" s="27" t="n">
        <f aca="false">IFERROR(SUMIF(INSTALMENTS!$C:$C,B30,INSTALMENTS!$I:$I),0)</f>
        <v>0</v>
      </c>
      <c r="Q30" s="27" t="str">
        <f aca="false">IF(J30="","",J30-P30)</f>
        <v/>
      </c>
      <c r="R30" s="25" t="str">
        <f aca="true">IF(J30="","",IF(Q30&lt;=0,"✅ Completed",IF(IFERROR(SUMPRODUCT((INSTALMENTS!$C:$C=B30)*(INSTALMENTS!$F:$F&lt;TODAY())*(INSTALMENTS!$I:$I&lt;INSTALMENTS!$H:$H)),0)&gt;0,"🔴 Overdue","🟢 Active")))</f>
        <v/>
      </c>
      <c r="S30" s="26"/>
      <c r="T30" s="26"/>
      <c r="U30" s="26"/>
      <c r="V30" s="26"/>
      <c r="W30" s="26"/>
      <c r="X30" s="29"/>
      <c r="Y30" s="29"/>
      <c r="Z30" s="29"/>
      <c r="AA30" s="29"/>
      <c r="AB30" s="29"/>
      <c r="AC30" s="29"/>
      <c r="AD30" s="30"/>
      <c r="AE30" s="30"/>
      <c r="AF30" s="30"/>
      <c r="AG30" s="30"/>
      <c r="AH30" s="31"/>
      <c r="AI30" s="31"/>
      <c r="AJ30" s="31"/>
      <c r="AK30" s="31"/>
      <c r="AL30" s="31"/>
      <c r="AM30" s="31"/>
      <c r="AN30" s="26"/>
      <c r="AO30" s="26"/>
      <c r="AP30" s="26"/>
      <c r="AQ30" s="26"/>
      <c r="AR30" s="26"/>
      <c r="AS30" s="26"/>
      <c r="AT30" s="26"/>
      <c r="AU30" s="26"/>
      <c r="AV30" s="32"/>
    </row>
    <row r="31" customFormat="false" ht="15" hidden="false" customHeight="false" outlineLevel="0" collapsed="false">
      <c r="A31" s="24" t="n">
        <v>28</v>
      </c>
      <c r="B31" s="25" t="str">
        <f aca="true">IF(C31="","",IF(E31="","",IFERROR("BTM-"&amp;LEFT(C31,3)&amp;"-"&amp;E31&amp;"-"&amp;TEXT(TODAY(),"YY")&amp;"-"&amp;TEXT(A31,"000"),"")))</f>
        <v/>
      </c>
      <c r="C31" s="26"/>
      <c r="D31" s="26"/>
      <c r="E31" s="26"/>
      <c r="F31" s="26"/>
      <c r="G31" s="26"/>
      <c r="H31" s="26"/>
      <c r="I31" s="26"/>
      <c r="J31" s="27" t="str">
        <f aca="false">IF(F31="","",IF(I31="","",F31*I31))</f>
        <v/>
      </c>
      <c r="K31" s="26"/>
      <c r="L31" s="26"/>
      <c r="M31" s="27" t="str">
        <f aca="false">IF(OR(J31="",L31="",K31=""),"",IFERROR((J31-K31-IF(O31="Adjust in Plan",N31,0))/L31,"-"))</f>
        <v/>
      </c>
      <c r="N31" s="28"/>
      <c r="O31" s="28"/>
      <c r="P31" s="27" t="n">
        <f aca="false">IFERROR(SUMIF(INSTALMENTS!$C:$C,B31,INSTALMENTS!$I:$I),0)</f>
        <v>0</v>
      </c>
      <c r="Q31" s="27" t="str">
        <f aca="false">IF(J31="","",J31-P31)</f>
        <v/>
      </c>
      <c r="R31" s="25" t="str">
        <f aca="true">IF(J31="","",IF(Q31&lt;=0,"✅ Completed",IF(IFERROR(SUMPRODUCT((INSTALMENTS!$C:$C=B31)*(INSTALMENTS!$F:$F&lt;TODAY())*(INSTALMENTS!$I:$I&lt;INSTALMENTS!$H:$H)),0)&gt;0,"🔴 Overdue","🟢 Active")))</f>
        <v/>
      </c>
      <c r="S31" s="26"/>
      <c r="T31" s="26"/>
      <c r="U31" s="26"/>
      <c r="V31" s="26"/>
      <c r="W31" s="26"/>
      <c r="X31" s="29"/>
      <c r="Y31" s="29"/>
      <c r="Z31" s="29"/>
      <c r="AA31" s="29"/>
      <c r="AB31" s="29"/>
      <c r="AC31" s="29"/>
      <c r="AD31" s="30"/>
      <c r="AE31" s="30"/>
      <c r="AF31" s="30"/>
      <c r="AG31" s="30"/>
      <c r="AH31" s="31"/>
      <c r="AI31" s="31"/>
      <c r="AJ31" s="31"/>
      <c r="AK31" s="31"/>
      <c r="AL31" s="31"/>
      <c r="AM31" s="31"/>
      <c r="AN31" s="26"/>
      <c r="AO31" s="26"/>
      <c r="AP31" s="26"/>
      <c r="AQ31" s="26"/>
      <c r="AR31" s="26"/>
      <c r="AS31" s="26"/>
      <c r="AT31" s="26"/>
      <c r="AU31" s="26"/>
      <c r="AV31" s="32"/>
    </row>
    <row r="32" customFormat="false" ht="15" hidden="false" customHeight="false" outlineLevel="0" collapsed="false">
      <c r="A32" s="24" t="n">
        <v>29</v>
      </c>
      <c r="B32" s="25" t="str">
        <f aca="true">IF(C32="","",IF(E32="","",IFERROR("BTM-"&amp;LEFT(C32,3)&amp;"-"&amp;E32&amp;"-"&amp;TEXT(TODAY(),"YY")&amp;"-"&amp;TEXT(A32,"000"),"")))</f>
        <v/>
      </c>
      <c r="C32" s="26"/>
      <c r="D32" s="26"/>
      <c r="E32" s="26"/>
      <c r="F32" s="26"/>
      <c r="G32" s="26"/>
      <c r="H32" s="26"/>
      <c r="I32" s="26"/>
      <c r="J32" s="27" t="str">
        <f aca="false">IF(F32="","",IF(I32="","",F32*I32))</f>
        <v/>
      </c>
      <c r="K32" s="26"/>
      <c r="L32" s="26"/>
      <c r="M32" s="27" t="str">
        <f aca="false">IF(OR(J32="",L32="",K32=""),"",IFERROR((J32-K32-IF(O32="Adjust in Plan",N32,0))/L32,"-"))</f>
        <v/>
      </c>
      <c r="N32" s="28"/>
      <c r="O32" s="28"/>
      <c r="P32" s="27" t="n">
        <f aca="false">IFERROR(SUMIF(INSTALMENTS!$C:$C,B32,INSTALMENTS!$I:$I),0)</f>
        <v>0</v>
      </c>
      <c r="Q32" s="27" t="str">
        <f aca="false">IF(J32="","",J32-P32)</f>
        <v/>
      </c>
      <c r="R32" s="25" t="str">
        <f aca="true">IF(J32="","",IF(Q32&lt;=0,"✅ Completed",IF(IFERROR(SUMPRODUCT((INSTALMENTS!$C:$C=B32)*(INSTALMENTS!$F:$F&lt;TODAY())*(INSTALMENTS!$I:$I&lt;INSTALMENTS!$H:$H)),0)&gt;0,"🔴 Overdue","🟢 Active")))</f>
        <v/>
      </c>
      <c r="S32" s="26"/>
      <c r="T32" s="26"/>
      <c r="U32" s="26"/>
      <c r="V32" s="26"/>
      <c r="W32" s="26"/>
      <c r="X32" s="29"/>
      <c r="Y32" s="29"/>
      <c r="Z32" s="29"/>
      <c r="AA32" s="29"/>
      <c r="AB32" s="29"/>
      <c r="AC32" s="29"/>
      <c r="AD32" s="30"/>
      <c r="AE32" s="30"/>
      <c r="AF32" s="30"/>
      <c r="AG32" s="30"/>
      <c r="AH32" s="31"/>
      <c r="AI32" s="31"/>
      <c r="AJ32" s="31"/>
      <c r="AK32" s="31"/>
      <c r="AL32" s="31"/>
      <c r="AM32" s="31"/>
      <c r="AN32" s="26"/>
      <c r="AO32" s="26"/>
      <c r="AP32" s="26"/>
      <c r="AQ32" s="26"/>
      <c r="AR32" s="26"/>
      <c r="AS32" s="26"/>
      <c r="AT32" s="26"/>
      <c r="AU32" s="26"/>
      <c r="AV32" s="32"/>
    </row>
    <row r="33" customFormat="false" ht="15" hidden="false" customHeight="false" outlineLevel="0" collapsed="false">
      <c r="A33" s="24" t="n">
        <v>30</v>
      </c>
      <c r="B33" s="25" t="str">
        <f aca="true">IF(C33="","",IF(E33="","",IFERROR("BTM-"&amp;LEFT(C33,3)&amp;"-"&amp;E33&amp;"-"&amp;TEXT(TODAY(),"YY")&amp;"-"&amp;TEXT(A33,"000"),"")))</f>
        <v/>
      </c>
      <c r="C33" s="26"/>
      <c r="D33" s="26"/>
      <c r="E33" s="26"/>
      <c r="F33" s="26"/>
      <c r="G33" s="26"/>
      <c r="H33" s="26"/>
      <c r="I33" s="26"/>
      <c r="J33" s="27" t="str">
        <f aca="false">IF(F33="","",IF(I33="","",F33*I33))</f>
        <v/>
      </c>
      <c r="K33" s="26"/>
      <c r="L33" s="26"/>
      <c r="M33" s="27" t="str">
        <f aca="false">IF(OR(J33="",L33="",K33=""),"",IFERROR((J33-K33-IF(O33="Adjust in Plan",N33,0))/L33,"-"))</f>
        <v/>
      </c>
      <c r="N33" s="28"/>
      <c r="O33" s="28"/>
      <c r="P33" s="27" t="n">
        <f aca="false">IFERROR(SUMIF(INSTALMENTS!$C:$C,B33,INSTALMENTS!$I:$I),0)</f>
        <v>0</v>
      </c>
      <c r="Q33" s="27" t="str">
        <f aca="false">IF(J33="","",J33-P33)</f>
        <v/>
      </c>
      <c r="R33" s="25" t="str">
        <f aca="true">IF(J33="","",IF(Q33&lt;=0,"✅ Completed",IF(IFERROR(SUMPRODUCT((INSTALMENTS!$C:$C=B33)*(INSTALMENTS!$F:$F&lt;TODAY())*(INSTALMENTS!$I:$I&lt;INSTALMENTS!$H:$H)),0)&gt;0,"🔴 Overdue","🟢 Active")))</f>
        <v/>
      </c>
      <c r="S33" s="26"/>
      <c r="T33" s="26"/>
      <c r="U33" s="26"/>
      <c r="V33" s="26"/>
      <c r="W33" s="26"/>
      <c r="X33" s="29"/>
      <c r="Y33" s="29"/>
      <c r="Z33" s="29"/>
      <c r="AA33" s="29"/>
      <c r="AB33" s="29"/>
      <c r="AC33" s="29"/>
      <c r="AD33" s="30"/>
      <c r="AE33" s="30"/>
      <c r="AF33" s="30"/>
      <c r="AG33" s="30"/>
      <c r="AH33" s="31"/>
      <c r="AI33" s="31"/>
      <c r="AJ33" s="31"/>
      <c r="AK33" s="31"/>
      <c r="AL33" s="31"/>
      <c r="AM33" s="31"/>
      <c r="AN33" s="26"/>
      <c r="AO33" s="26"/>
      <c r="AP33" s="26"/>
      <c r="AQ33" s="26"/>
      <c r="AR33" s="26"/>
      <c r="AS33" s="26"/>
      <c r="AT33" s="26"/>
      <c r="AU33" s="26"/>
      <c r="AV33" s="32"/>
    </row>
    <row r="34" customFormat="false" ht="15" hidden="false" customHeight="false" outlineLevel="0" collapsed="false">
      <c r="A34" s="24" t="n">
        <v>31</v>
      </c>
      <c r="B34" s="25" t="str">
        <f aca="true">IF(C34="","",IF(E34="","",IFERROR("BTM-"&amp;LEFT(C34,3)&amp;"-"&amp;E34&amp;"-"&amp;TEXT(TODAY(),"YY")&amp;"-"&amp;TEXT(A34,"000"),"")))</f>
        <v/>
      </c>
      <c r="C34" s="26"/>
      <c r="D34" s="26"/>
      <c r="E34" s="26"/>
      <c r="F34" s="26"/>
      <c r="G34" s="26"/>
      <c r="H34" s="26"/>
      <c r="I34" s="26"/>
      <c r="J34" s="27" t="str">
        <f aca="false">IF(F34="","",IF(I34="","",F34*I34))</f>
        <v/>
      </c>
      <c r="K34" s="26"/>
      <c r="L34" s="26"/>
      <c r="M34" s="27" t="str">
        <f aca="false">IF(OR(J34="",L34="",K34=""),"",IFERROR((J34-K34-IF(O34="Adjust in Plan",N34,0))/L34,"-"))</f>
        <v/>
      </c>
      <c r="N34" s="28"/>
      <c r="O34" s="28"/>
      <c r="P34" s="27" t="n">
        <f aca="false">IFERROR(SUMIF(INSTALMENTS!$C:$C,B34,INSTALMENTS!$I:$I),0)</f>
        <v>0</v>
      </c>
      <c r="Q34" s="27" t="str">
        <f aca="false">IF(J34="","",J34-P34)</f>
        <v/>
      </c>
      <c r="R34" s="25" t="str">
        <f aca="true">IF(J34="","",IF(Q34&lt;=0,"✅ Completed",IF(IFERROR(SUMPRODUCT((INSTALMENTS!$C:$C=B34)*(INSTALMENTS!$F:$F&lt;TODAY())*(INSTALMENTS!$I:$I&lt;INSTALMENTS!$H:$H)),0)&gt;0,"🔴 Overdue","🟢 Active")))</f>
        <v/>
      </c>
      <c r="S34" s="26"/>
      <c r="T34" s="26"/>
      <c r="U34" s="26"/>
      <c r="V34" s="26"/>
      <c r="W34" s="26"/>
      <c r="X34" s="29"/>
      <c r="Y34" s="29"/>
      <c r="Z34" s="29"/>
      <c r="AA34" s="29"/>
      <c r="AB34" s="29"/>
      <c r="AC34" s="29"/>
      <c r="AD34" s="30"/>
      <c r="AE34" s="30"/>
      <c r="AF34" s="30"/>
      <c r="AG34" s="30"/>
      <c r="AH34" s="31"/>
      <c r="AI34" s="31"/>
      <c r="AJ34" s="31"/>
      <c r="AK34" s="31"/>
      <c r="AL34" s="31"/>
      <c r="AM34" s="31"/>
      <c r="AN34" s="26"/>
      <c r="AO34" s="26"/>
      <c r="AP34" s="26"/>
      <c r="AQ34" s="26"/>
      <c r="AR34" s="26"/>
      <c r="AS34" s="26"/>
      <c r="AT34" s="26"/>
      <c r="AU34" s="26"/>
      <c r="AV34" s="32"/>
    </row>
    <row r="35" customFormat="false" ht="15" hidden="false" customHeight="false" outlineLevel="0" collapsed="false">
      <c r="A35" s="24" t="n">
        <v>32</v>
      </c>
      <c r="B35" s="25" t="str">
        <f aca="true">IF(C35="","",IF(E35="","",IFERROR("BTM-"&amp;LEFT(C35,3)&amp;"-"&amp;E35&amp;"-"&amp;TEXT(TODAY(),"YY")&amp;"-"&amp;TEXT(A35,"000"),"")))</f>
        <v/>
      </c>
      <c r="C35" s="26"/>
      <c r="D35" s="26"/>
      <c r="E35" s="26"/>
      <c r="F35" s="26"/>
      <c r="G35" s="26"/>
      <c r="H35" s="26"/>
      <c r="I35" s="26"/>
      <c r="J35" s="27" t="str">
        <f aca="false">IF(F35="","",IF(I35="","",F35*I35))</f>
        <v/>
      </c>
      <c r="K35" s="26"/>
      <c r="L35" s="26"/>
      <c r="M35" s="27" t="str">
        <f aca="false">IF(OR(J35="",L35="",K35=""),"",IFERROR((J35-K35-IF(O35="Adjust in Plan",N35,0))/L35,"-"))</f>
        <v/>
      </c>
      <c r="N35" s="28"/>
      <c r="O35" s="28"/>
      <c r="P35" s="27" t="n">
        <f aca="false">IFERROR(SUMIF(INSTALMENTS!$C:$C,B35,INSTALMENTS!$I:$I),0)</f>
        <v>0</v>
      </c>
      <c r="Q35" s="27" t="str">
        <f aca="false">IF(J35="","",J35-P35)</f>
        <v/>
      </c>
      <c r="R35" s="25" t="str">
        <f aca="true">IF(J35="","",IF(Q35&lt;=0,"✅ Completed",IF(IFERROR(SUMPRODUCT((INSTALMENTS!$C:$C=B35)*(INSTALMENTS!$F:$F&lt;TODAY())*(INSTALMENTS!$I:$I&lt;INSTALMENTS!$H:$H)),0)&gt;0,"🔴 Overdue","🟢 Active")))</f>
        <v/>
      </c>
      <c r="S35" s="26"/>
      <c r="T35" s="26"/>
      <c r="U35" s="26"/>
      <c r="V35" s="26"/>
      <c r="W35" s="26"/>
      <c r="X35" s="29"/>
      <c r="Y35" s="29"/>
      <c r="Z35" s="29"/>
      <c r="AA35" s="29"/>
      <c r="AB35" s="29"/>
      <c r="AC35" s="29"/>
      <c r="AD35" s="30"/>
      <c r="AE35" s="30"/>
      <c r="AF35" s="30"/>
      <c r="AG35" s="30"/>
      <c r="AH35" s="31"/>
      <c r="AI35" s="31"/>
      <c r="AJ35" s="31"/>
      <c r="AK35" s="31"/>
      <c r="AL35" s="31"/>
      <c r="AM35" s="31"/>
      <c r="AN35" s="26"/>
      <c r="AO35" s="26"/>
      <c r="AP35" s="26"/>
      <c r="AQ35" s="26"/>
      <c r="AR35" s="26"/>
      <c r="AS35" s="26"/>
      <c r="AT35" s="26"/>
      <c r="AU35" s="26"/>
      <c r="AV35" s="32"/>
    </row>
    <row r="36" customFormat="false" ht="15" hidden="false" customHeight="false" outlineLevel="0" collapsed="false">
      <c r="A36" s="24" t="n">
        <v>33</v>
      </c>
      <c r="B36" s="25" t="str">
        <f aca="true">IF(C36="","",IF(E36="","",IFERROR("BTM-"&amp;LEFT(C36,3)&amp;"-"&amp;E36&amp;"-"&amp;TEXT(TODAY(),"YY")&amp;"-"&amp;TEXT(A36,"000"),"")))</f>
        <v/>
      </c>
      <c r="C36" s="26"/>
      <c r="D36" s="26"/>
      <c r="E36" s="26"/>
      <c r="F36" s="26"/>
      <c r="G36" s="26"/>
      <c r="H36" s="26"/>
      <c r="I36" s="26"/>
      <c r="J36" s="27" t="str">
        <f aca="false">IF(F36="","",IF(I36="","",F36*I36))</f>
        <v/>
      </c>
      <c r="K36" s="26"/>
      <c r="L36" s="26"/>
      <c r="M36" s="27" t="str">
        <f aca="false">IF(OR(J36="",L36="",K36=""),"",IFERROR((J36-K36-IF(O36="Adjust in Plan",N36,0))/L36,"-"))</f>
        <v/>
      </c>
      <c r="N36" s="28"/>
      <c r="O36" s="28"/>
      <c r="P36" s="27" t="n">
        <f aca="false">IFERROR(SUMIF(INSTALMENTS!$C:$C,B36,INSTALMENTS!$I:$I),0)</f>
        <v>0</v>
      </c>
      <c r="Q36" s="27" t="str">
        <f aca="false">IF(J36="","",J36-P36)</f>
        <v/>
      </c>
      <c r="R36" s="25" t="str">
        <f aca="true">IF(J36="","",IF(Q36&lt;=0,"✅ Completed",IF(IFERROR(SUMPRODUCT((INSTALMENTS!$C:$C=B36)*(INSTALMENTS!$F:$F&lt;TODAY())*(INSTALMENTS!$I:$I&lt;INSTALMENTS!$H:$H)),0)&gt;0,"🔴 Overdue","🟢 Active")))</f>
        <v/>
      </c>
      <c r="S36" s="26"/>
      <c r="T36" s="26"/>
      <c r="U36" s="26"/>
      <c r="V36" s="26"/>
      <c r="W36" s="26"/>
      <c r="X36" s="29"/>
      <c r="Y36" s="29"/>
      <c r="Z36" s="29"/>
      <c r="AA36" s="29"/>
      <c r="AB36" s="29"/>
      <c r="AC36" s="29"/>
      <c r="AD36" s="30"/>
      <c r="AE36" s="30"/>
      <c r="AF36" s="30"/>
      <c r="AG36" s="30"/>
      <c r="AH36" s="31"/>
      <c r="AI36" s="31"/>
      <c r="AJ36" s="31"/>
      <c r="AK36" s="31"/>
      <c r="AL36" s="31"/>
      <c r="AM36" s="31"/>
      <c r="AN36" s="26"/>
      <c r="AO36" s="26"/>
      <c r="AP36" s="26"/>
      <c r="AQ36" s="26"/>
      <c r="AR36" s="26"/>
      <c r="AS36" s="26"/>
      <c r="AT36" s="26"/>
      <c r="AU36" s="26"/>
      <c r="AV36" s="32"/>
    </row>
    <row r="37" customFormat="false" ht="15" hidden="false" customHeight="false" outlineLevel="0" collapsed="false">
      <c r="A37" s="24" t="n">
        <v>34</v>
      </c>
      <c r="B37" s="25" t="str">
        <f aca="true">IF(C37="","",IF(E37="","",IFERROR("BTM-"&amp;LEFT(C37,3)&amp;"-"&amp;E37&amp;"-"&amp;TEXT(TODAY(),"YY")&amp;"-"&amp;TEXT(A37,"000"),"")))</f>
        <v/>
      </c>
      <c r="C37" s="26"/>
      <c r="D37" s="26"/>
      <c r="E37" s="26"/>
      <c r="F37" s="26"/>
      <c r="G37" s="26"/>
      <c r="H37" s="26"/>
      <c r="I37" s="26"/>
      <c r="J37" s="27" t="str">
        <f aca="false">IF(F37="","",IF(I37="","",F37*I37))</f>
        <v/>
      </c>
      <c r="K37" s="26"/>
      <c r="L37" s="26"/>
      <c r="M37" s="27" t="str">
        <f aca="false">IF(OR(J37="",L37="",K37=""),"",IFERROR((J37-K37-IF(O37="Adjust in Plan",N37,0))/L37,"-"))</f>
        <v/>
      </c>
      <c r="N37" s="28"/>
      <c r="O37" s="28"/>
      <c r="P37" s="27" t="n">
        <f aca="false">IFERROR(SUMIF(INSTALMENTS!$C:$C,B37,INSTALMENTS!$I:$I),0)</f>
        <v>0</v>
      </c>
      <c r="Q37" s="27" t="str">
        <f aca="false">IF(J37="","",J37-P37)</f>
        <v/>
      </c>
      <c r="R37" s="25" t="str">
        <f aca="true">IF(J37="","",IF(Q37&lt;=0,"✅ Completed",IF(IFERROR(SUMPRODUCT((INSTALMENTS!$C:$C=B37)*(INSTALMENTS!$F:$F&lt;TODAY())*(INSTALMENTS!$I:$I&lt;INSTALMENTS!$H:$H)),0)&gt;0,"🔴 Overdue","🟢 Active")))</f>
        <v/>
      </c>
      <c r="S37" s="26"/>
      <c r="T37" s="26"/>
      <c r="U37" s="26"/>
      <c r="V37" s="26"/>
      <c r="W37" s="26"/>
      <c r="X37" s="29"/>
      <c r="Y37" s="29"/>
      <c r="Z37" s="29"/>
      <c r="AA37" s="29"/>
      <c r="AB37" s="29"/>
      <c r="AC37" s="29"/>
      <c r="AD37" s="30"/>
      <c r="AE37" s="30"/>
      <c r="AF37" s="30"/>
      <c r="AG37" s="30"/>
      <c r="AH37" s="31"/>
      <c r="AI37" s="31"/>
      <c r="AJ37" s="31"/>
      <c r="AK37" s="31"/>
      <c r="AL37" s="31"/>
      <c r="AM37" s="31"/>
      <c r="AN37" s="26"/>
      <c r="AO37" s="26"/>
      <c r="AP37" s="26"/>
      <c r="AQ37" s="26"/>
      <c r="AR37" s="26"/>
      <c r="AS37" s="26"/>
      <c r="AT37" s="26"/>
      <c r="AU37" s="26"/>
      <c r="AV37" s="32"/>
    </row>
    <row r="38" customFormat="false" ht="15" hidden="false" customHeight="false" outlineLevel="0" collapsed="false">
      <c r="A38" s="24" t="n">
        <v>35</v>
      </c>
      <c r="B38" s="25" t="str">
        <f aca="true">IF(C38="","",IF(E38="","",IFERROR("BTM-"&amp;LEFT(C38,3)&amp;"-"&amp;E38&amp;"-"&amp;TEXT(TODAY(),"YY")&amp;"-"&amp;TEXT(A38,"000"),"")))</f>
        <v/>
      </c>
      <c r="C38" s="26"/>
      <c r="D38" s="26"/>
      <c r="E38" s="26"/>
      <c r="F38" s="26"/>
      <c r="G38" s="26"/>
      <c r="H38" s="26"/>
      <c r="I38" s="26"/>
      <c r="J38" s="27" t="str">
        <f aca="false">IF(F38="","",IF(I38="","",F38*I38))</f>
        <v/>
      </c>
      <c r="K38" s="26"/>
      <c r="L38" s="26"/>
      <c r="M38" s="27" t="str">
        <f aca="false">IF(OR(J38="",L38="",K38=""),"",IFERROR((J38-K38-IF(O38="Adjust in Plan",N38,0))/L38,"-"))</f>
        <v/>
      </c>
      <c r="N38" s="28"/>
      <c r="O38" s="28"/>
      <c r="P38" s="27" t="n">
        <f aca="false">IFERROR(SUMIF(INSTALMENTS!$C:$C,B38,INSTALMENTS!$I:$I),0)</f>
        <v>0</v>
      </c>
      <c r="Q38" s="27" t="str">
        <f aca="false">IF(J38="","",J38-P38)</f>
        <v/>
      </c>
      <c r="R38" s="25" t="str">
        <f aca="true">IF(J38="","",IF(Q38&lt;=0,"✅ Completed",IF(IFERROR(SUMPRODUCT((INSTALMENTS!$C:$C=B38)*(INSTALMENTS!$F:$F&lt;TODAY())*(INSTALMENTS!$I:$I&lt;INSTALMENTS!$H:$H)),0)&gt;0,"🔴 Overdue","🟢 Active")))</f>
        <v/>
      </c>
      <c r="S38" s="26"/>
      <c r="T38" s="26"/>
      <c r="U38" s="26"/>
      <c r="V38" s="26"/>
      <c r="W38" s="26"/>
      <c r="X38" s="29"/>
      <c r="Y38" s="29"/>
      <c r="Z38" s="29"/>
      <c r="AA38" s="29"/>
      <c r="AB38" s="29"/>
      <c r="AC38" s="29"/>
      <c r="AD38" s="30"/>
      <c r="AE38" s="30"/>
      <c r="AF38" s="30"/>
      <c r="AG38" s="30"/>
      <c r="AH38" s="31"/>
      <c r="AI38" s="31"/>
      <c r="AJ38" s="31"/>
      <c r="AK38" s="31"/>
      <c r="AL38" s="31"/>
      <c r="AM38" s="31"/>
      <c r="AN38" s="26"/>
      <c r="AO38" s="26"/>
      <c r="AP38" s="26"/>
      <c r="AQ38" s="26"/>
      <c r="AR38" s="26"/>
      <c r="AS38" s="26"/>
      <c r="AT38" s="26"/>
      <c r="AU38" s="26"/>
      <c r="AV38" s="32"/>
    </row>
    <row r="39" customFormat="false" ht="15" hidden="false" customHeight="false" outlineLevel="0" collapsed="false">
      <c r="A39" s="24" t="n">
        <v>36</v>
      </c>
      <c r="B39" s="25" t="str">
        <f aca="true">IF(C39="","",IF(E39="","",IFERROR("BTM-"&amp;LEFT(C39,3)&amp;"-"&amp;E39&amp;"-"&amp;TEXT(TODAY(),"YY")&amp;"-"&amp;TEXT(A39,"000"),"")))</f>
        <v/>
      </c>
      <c r="C39" s="26"/>
      <c r="D39" s="26"/>
      <c r="E39" s="26"/>
      <c r="F39" s="26"/>
      <c r="G39" s="26"/>
      <c r="H39" s="26"/>
      <c r="I39" s="26"/>
      <c r="J39" s="27" t="str">
        <f aca="false">IF(F39="","",IF(I39="","",F39*I39))</f>
        <v/>
      </c>
      <c r="K39" s="26"/>
      <c r="L39" s="26"/>
      <c r="M39" s="27" t="str">
        <f aca="false">IF(OR(J39="",L39="",K39=""),"",IFERROR((J39-K39-IF(O39="Adjust in Plan",N39,0))/L39,"-"))</f>
        <v/>
      </c>
      <c r="N39" s="28"/>
      <c r="O39" s="28"/>
      <c r="P39" s="27" t="n">
        <f aca="false">IFERROR(SUMIF(INSTALMENTS!$C:$C,B39,INSTALMENTS!$I:$I),0)</f>
        <v>0</v>
      </c>
      <c r="Q39" s="27" t="str">
        <f aca="false">IF(J39="","",J39-P39)</f>
        <v/>
      </c>
      <c r="R39" s="25" t="str">
        <f aca="true">IF(J39="","",IF(Q39&lt;=0,"✅ Completed",IF(IFERROR(SUMPRODUCT((INSTALMENTS!$C:$C=B39)*(INSTALMENTS!$F:$F&lt;TODAY())*(INSTALMENTS!$I:$I&lt;INSTALMENTS!$H:$H)),0)&gt;0,"🔴 Overdue","🟢 Active")))</f>
        <v/>
      </c>
      <c r="S39" s="26"/>
      <c r="T39" s="26"/>
      <c r="U39" s="26"/>
      <c r="V39" s="26"/>
      <c r="W39" s="26"/>
      <c r="X39" s="29"/>
      <c r="Y39" s="29"/>
      <c r="Z39" s="29"/>
      <c r="AA39" s="29"/>
      <c r="AB39" s="29"/>
      <c r="AC39" s="29"/>
      <c r="AD39" s="30"/>
      <c r="AE39" s="30"/>
      <c r="AF39" s="30"/>
      <c r="AG39" s="30"/>
      <c r="AH39" s="31"/>
      <c r="AI39" s="31"/>
      <c r="AJ39" s="31"/>
      <c r="AK39" s="31"/>
      <c r="AL39" s="31"/>
      <c r="AM39" s="31"/>
      <c r="AN39" s="26"/>
      <c r="AO39" s="26"/>
      <c r="AP39" s="26"/>
      <c r="AQ39" s="26"/>
      <c r="AR39" s="26"/>
      <c r="AS39" s="26"/>
      <c r="AT39" s="26"/>
      <c r="AU39" s="26"/>
      <c r="AV39" s="32"/>
    </row>
    <row r="40" customFormat="false" ht="15" hidden="false" customHeight="false" outlineLevel="0" collapsed="false">
      <c r="A40" s="24" t="n">
        <v>37</v>
      </c>
      <c r="B40" s="25" t="str">
        <f aca="true">IF(C40="","",IF(E40="","",IFERROR("BTM-"&amp;LEFT(C40,3)&amp;"-"&amp;E40&amp;"-"&amp;TEXT(TODAY(),"YY")&amp;"-"&amp;TEXT(A40,"000"),"")))</f>
        <v/>
      </c>
      <c r="C40" s="26"/>
      <c r="D40" s="26"/>
      <c r="E40" s="26"/>
      <c r="F40" s="26"/>
      <c r="G40" s="26"/>
      <c r="H40" s="26"/>
      <c r="I40" s="26"/>
      <c r="J40" s="27" t="str">
        <f aca="false">IF(F40="","",IF(I40="","",F40*I40))</f>
        <v/>
      </c>
      <c r="K40" s="26"/>
      <c r="L40" s="26"/>
      <c r="M40" s="27" t="str">
        <f aca="false">IF(OR(J40="",L40="",K40=""),"",IFERROR((J40-K40-IF(O40="Adjust in Plan",N40,0))/L40,"-"))</f>
        <v/>
      </c>
      <c r="N40" s="28"/>
      <c r="O40" s="28"/>
      <c r="P40" s="27" t="n">
        <f aca="false">IFERROR(SUMIF(INSTALMENTS!$C:$C,B40,INSTALMENTS!$I:$I),0)</f>
        <v>0</v>
      </c>
      <c r="Q40" s="27" t="str">
        <f aca="false">IF(J40="","",J40-P40)</f>
        <v/>
      </c>
      <c r="R40" s="25" t="str">
        <f aca="true">IF(J40="","",IF(Q40&lt;=0,"✅ Completed",IF(IFERROR(SUMPRODUCT((INSTALMENTS!$C:$C=B40)*(INSTALMENTS!$F:$F&lt;TODAY())*(INSTALMENTS!$I:$I&lt;INSTALMENTS!$H:$H)),0)&gt;0,"🔴 Overdue","🟢 Active")))</f>
        <v/>
      </c>
      <c r="S40" s="26"/>
      <c r="T40" s="26"/>
      <c r="U40" s="26"/>
      <c r="V40" s="26"/>
      <c r="W40" s="26"/>
      <c r="X40" s="29"/>
      <c r="Y40" s="29"/>
      <c r="Z40" s="29"/>
      <c r="AA40" s="29"/>
      <c r="AB40" s="29"/>
      <c r="AC40" s="29"/>
      <c r="AD40" s="30"/>
      <c r="AE40" s="30"/>
      <c r="AF40" s="30"/>
      <c r="AG40" s="30"/>
      <c r="AH40" s="31"/>
      <c r="AI40" s="31"/>
      <c r="AJ40" s="31"/>
      <c r="AK40" s="31"/>
      <c r="AL40" s="31"/>
      <c r="AM40" s="31"/>
      <c r="AN40" s="26"/>
      <c r="AO40" s="26"/>
      <c r="AP40" s="26"/>
      <c r="AQ40" s="26"/>
      <c r="AR40" s="26"/>
      <c r="AS40" s="26"/>
      <c r="AT40" s="26"/>
      <c r="AU40" s="26"/>
      <c r="AV40" s="32"/>
    </row>
    <row r="41" customFormat="false" ht="15" hidden="false" customHeight="false" outlineLevel="0" collapsed="false">
      <c r="A41" s="24" t="n">
        <v>38</v>
      </c>
      <c r="B41" s="25" t="str">
        <f aca="true">IF(C41="","",IF(E41="","",IFERROR("BTM-"&amp;LEFT(C41,3)&amp;"-"&amp;E41&amp;"-"&amp;TEXT(TODAY(),"YY")&amp;"-"&amp;TEXT(A41,"000"),"")))</f>
        <v/>
      </c>
      <c r="C41" s="26"/>
      <c r="D41" s="26"/>
      <c r="E41" s="26"/>
      <c r="F41" s="26"/>
      <c r="G41" s="26"/>
      <c r="H41" s="26"/>
      <c r="I41" s="26"/>
      <c r="J41" s="27" t="str">
        <f aca="false">IF(F41="","",IF(I41="","",F41*I41))</f>
        <v/>
      </c>
      <c r="K41" s="26"/>
      <c r="L41" s="26"/>
      <c r="M41" s="27" t="str">
        <f aca="false">IF(OR(J41="",L41="",K41=""),"",IFERROR((J41-K41-IF(O41="Adjust in Plan",N41,0))/L41,"-"))</f>
        <v/>
      </c>
      <c r="N41" s="28"/>
      <c r="O41" s="28"/>
      <c r="P41" s="27" t="n">
        <f aca="false">IFERROR(SUMIF(INSTALMENTS!$C:$C,B41,INSTALMENTS!$I:$I),0)</f>
        <v>0</v>
      </c>
      <c r="Q41" s="27" t="str">
        <f aca="false">IF(J41="","",J41-P41)</f>
        <v/>
      </c>
      <c r="R41" s="25" t="str">
        <f aca="true">IF(J41="","",IF(Q41&lt;=0,"✅ Completed",IF(IFERROR(SUMPRODUCT((INSTALMENTS!$C:$C=B41)*(INSTALMENTS!$F:$F&lt;TODAY())*(INSTALMENTS!$I:$I&lt;INSTALMENTS!$H:$H)),0)&gt;0,"🔴 Overdue","🟢 Active")))</f>
        <v/>
      </c>
      <c r="S41" s="26"/>
      <c r="T41" s="26"/>
      <c r="U41" s="26"/>
      <c r="V41" s="26"/>
      <c r="W41" s="26"/>
      <c r="X41" s="29"/>
      <c r="Y41" s="29"/>
      <c r="Z41" s="29"/>
      <c r="AA41" s="29"/>
      <c r="AB41" s="29"/>
      <c r="AC41" s="29"/>
      <c r="AD41" s="30"/>
      <c r="AE41" s="30"/>
      <c r="AF41" s="30"/>
      <c r="AG41" s="30"/>
      <c r="AH41" s="31"/>
      <c r="AI41" s="31"/>
      <c r="AJ41" s="31"/>
      <c r="AK41" s="31"/>
      <c r="AL41" s="31"/>
      <c r="AM41" s="31"/>
      <c r="AN41" s="26"/>
      <c r="AO41" s="26"/>
      <c r="AP41" s="26"/>
      <c r="AQ41" s="26"/>
      <c r="AR41" s="26"/>
      <c r="AS41" s="26"/>
      <c r="AT41" s="26"/>
      <c r="AU41" s="26"/>
      <c r="AV41" s="32"/>
    </row>
    <row r="42" customFormat="false" ht="15" hidden="false" customHeight="false" outlineLevel="0" collapsed="false">
      <c r="A42" s="24" t="n">
        <v>39</v>
      </c>
      <c r="B42" s="25" t="str">
        <f aca="true">IF(C42="","",IF(E42="","",IFERROR("BTM-"&amp;LEFT(C42,3)&amp;"-"&amp;E42&amp;"-"&amp;TEXT(TODAY(),"YY")&amp;"-"&amp;TEXT(A42,"000"),"")))</f>
        <v/>
      </c>
      <c r="C42" s="26"/>
      <c r="D42" s="26"/>
      <c r="E42" s="26"/>
      <c r="F42" s="26"/>
      <c r="G42" s="26"/>
      <c r="H42" s="26"/>
      <c r="I42" s="26"/>
      <c r="J42" s="27" t="str">
        <f aca="false">IF(F42="","",IF(I42="","",F42*I42))</f>
        <v/>
      </c>
      <c r="K42" s="26"/>
      <c r="L42" s="26"/>
      <c r="M42" s="27" t="str">
        <f aca="false">IF(OR(J42="",L42="",K42=""),"",IFERROR((J42-K42-IF(O42="Adjust in Plan",N42,0))/L42,"-"))</f>
        <v/>
      </c>
      <c r="N42" s="28"/>
      <c r="O42" s="28"/>
      <c r="P42" s="27" t="n">
        <f aca="false">IFERROR(SUMIF(INSTALMENTS!$C:$C,B42,INSTALMENTS!$I:$I),0)</f>
        <v>0</v>
      </c>
      <c r="Q42" s="27" t="str">
        <f aca="false">IF(J42="","",J42-P42)</f>
        <v/>
      </c>
      <c r="R42" s="25" t="str">
        <f aca="true">IF(J42="","",IF(Q42&lt;=0,"✅ Completed",IF(IFERROR(SUMPRODUCT((INSTALMENTS!$C:$C=B42)*(INSTALMENTS!$F:$F&lt;TODAY())*(INSTALMENTS!$I:$I&lt;INSTALMENTS!$H:$H)),0)&gt;0,"🔴 Overdue","🟢 Active")))</f>
        <v/>
      </c>
      <c r="S42" s="26"/>
      <c r="T42" s="26"/>
      <c r="U42" s="26"/>
      <c r="V42" s="26"/>
      <c r="W42" s="26"/>
      <c r="X42" s="29"/>
      <c r="Y42" s="29"/>
      <c r="Z42" s="29"/>
      <c r="AA42" s="29"/>
      <c r="AB42" s="29"/>
      <c r="AC42" s="29"/>
      <c r="AD42" s="30"/>
      <c r="AE42" s="30"/>
      <c r="AF42" s="30"/>
      <c r="AG42" s="30"/>
      <c r="AH42" s="31"/>
      <c r="AI42" s="31"/>
      <c r="AJ42" s="31"/>
      <c r="AK42" s="31"/>
      <c r="AL42" s="31"/>
      <c r="AM42" s="31"/>
      <c r="AN42" s="26"/>
      <c r="AO42" s="26"/>
      <c r="AP42" s="26"/>
      <c r="AQ42" s="26"/>
      <c r="AR42" s="26"/>
      <c r="AS42" s="26"/>
      <c r="AT42" s="26"/>
      <c r="AU42" s="26"/>
      <c r="AV42" s="32"/>
    </row>
    <row r="43" customFormat="false" ht="15" hidden="false" customHeight="false" outlineLevel="0" collapsed="false">
      <c r="A43" s="24" t="n">
        <v>40</v>
      </c>
      <c r="B43" s="25" t="str">
        <f aca="true">IF(C43="","",IF(E43="","",IFERROR("BTM-"&amp;LEFT(C43,3)&amp;"-"&amp;E43&amp;"-"&amp;TEXT(TODAY(),"YY")&amp;"-"&amp;TEXT(A43,"000"),"")))</f>
        <v/>
      </c>
      <c r="C43" s="26"/>
      <c r="D43" s="26"/>
      <c r="E43" s="26"/>
      <c r="F43" s="26"/>
      <c r="G43" s="26"/>
      <c r="H43" s="26"/>
      <c r="I43" s="26"/>
      <c r="J43" s="27" t="str">
        <f aca="false">IF(F43="","",IF(I43="","",F43*I43))</f>
        <v/>
      </c>
      <c r="K43" s="26"/>
      <c r="L43" s="26"/>
      <c r="M43" s="27" t="str">
        <f aca="false">IF(OR(J43="",L43="",K43=""),"",IFERROR((J43-K43-IF(O43="Adjust in Plan",N43,0))/L43,"-"))</f>
        <v/>
      </c>
      <c r="N43" s="28"/>
      <c r="O43" s="28"/>
      <c r="P43" s="27" t="n">
        <f aca="false">IFERROR(SUMIF(INSTALMENTS!$C:$C,B43,INSTALMENTS!$I:$I),0)</f>
        <v>0</v>
      </c>
      <c r="Q43" s="27" t="str">
        <f aca="false">IF(J43="","",J43-P43)</f>
        <v/>
      </c>
      <c r="R43" s="25" t="str">
        <f aca="true">IF(J43="","",IF(Q43&lt;=0,"✅ Completed",IF(IFERROR(SUMPRODUCT((INSTALMENTS!$C:$C=B43)*(INSTALMENTS!$F:$F&lt;TODAY())*(INSTALMENTS!$I:$I&lt;INSTALMENTS!$H:$H)),0)&gt;0,"🔴 Overdue","🟢 Active")))</f>
        <v/>
      </c>
      <c r="S43" s="26"/>
      <c r="T43" s="26"/>
      <c r="U43" s="26"/>
      <c r="V43" s="26"/>
      <c r="W43" s="26"/>
      <c r="X43" s="29"/>
      <c r="Y43" s="29"/>
      <c r="Z43" s="29"/>
      <c r="AA43" s="29"/>
      <c r="AB43" s="29"/>
      <c r="AC43" s="29"/>
      <c r="AD43" s="30"/>
      <c r="AE43" s="30"/>
      <c r="AF43" s="30"/>
      <c r="AG43" s="30"/>
      <c r="AH43" s="31"/>
      <c r="AI43" s="31"/>
      <c r="AJ43" s="31"/>
      <c r="AK43" s="31"/>
      <c r="AL43" s="31"/>
      <c r="AM43" s="31"/>
      <c r="AN43" s="26"/>
      <c r="AO43" s="26"/>
      <c r="AP43" s="26"/>
      <c r="AQ43" s="26"/>
      <c r="AR43" s="26"/>
      <c r="AS43" s="26"/>
      <c r="AT43" s="26"/>
      <c r="AU43" s="26"/>
      <c r="AV43" s="32"/>
    </row>
    <row r="44" customFormat="false" ht="15" hidden="false" customHeight="false" outlineLevel="0" collapsed="false">
      <c r="A44" s="24" t="n">
        <v>41</v>
      </c>
      <c r="B44" s="25" t="str">
        <f aca="true">IF(C44="","",IF(E44="","",IFERROR("BTM-"&amp;LEFT(C44,3)&amp;"-"&amp;E44&amp;"-"&amp;TEXT(TODAY(),"YY")&amp;"-"&amp;TEXT(A44,"000"),"")))</f>
        <v/>
      </c>
      <c r="C44" s="26"/>
      <c r="D44" s="26"/>
      <c r="E44" s="26"/>
      <c r="F44" s="26"/>
      <c r="G44" s="26"/>
      <c r="H44" s="26"/>
      <c r="I44" s="26"/>
      <c r="J44" s="27" t="str">
        <f aca="false">IF(F44="","",IF(I44="","",F44*I44))</f>
        <v/>
      </c>
      <c r="K44" s="26"/>
      <c r="L44" s="26"/>
      <c r="M44" s="27" t="str">
        <f aca="false">IF(OR(J44="",L44="",K44=""),"",IFERROR((J44-K44-IF(O44="Adjust in Plan",N44,0))/L44,"-"))</f>
        <v/>
      </c>
      <c r="N44" s="28"/>
      <c r="O44" s="28"/>
      <c r="P44" s="27" t="n">
        <f aca="false">IFERROR(SUMIF(INSTALMENTS!$C:$C,B44,INSTALMENTS!$I:$I),0)</f>
        <v>0</v>
      </c>
      <c r="Q44" s="27" t="str">
        <f aca="false">IF(J44="","",J44-P44)</f>
        <v/>
      </c>
      <c r="R44" s="25" t="str">
        <f aca="true">IF(J44="","",IF(Q44&lt;=0,"✅ Completed",IF(IFERROR(SUMPRODUCT((INSTALMENTS!$C:$C=B44)*(INSTALMENTS!$F:$F&lt;TODAY())*(INSTALMENTS!$I:$I&lt;INSTALMENTS!$H:$H)),0)&gt;0,"🔴 Overdue","🟢 Active")))</f>
        <v/>
      </c>
      <c r="S44" s="26"/>
      <c r="T44" s="26"/>
      <c r="U44" s="26"/>
      <c r="V44" s="26"/>
      <c r="W44" s="26"/>
      <c r="X44" s="29"/>
      <c r="Y44" s="29"/>
      <c r="Z44" s="29"/>
      <c r="AA44" s="29"/>
      <c r="AB44" s="29"/>
      <c r="AC44" s="29"/>
      <c r="AD44" s="30"/>
      <c r="AE44" s="30"/>
      <c r="AF44" s="30"/>
      <c r="AG44" s="30"/>
      <c r="AH44" s="31"/>
      <c r="AI44" s="31"/>
      <c r="AJ44" s="31"/>
      <c r="AK44" s="31"/>
      <c r="AL44" s="31"/>
      <c r="AM44" s="31"/>
      <c r="AN44" s="26"/>
      <c r="AO44" s="26"/>
      <c r="AP44" s="26"/>
      <c r="AQ44" s="26"/>
      <c r="AR44" s="26"/>
      <c r="AS44" s="26"/>
      <c r="AT44" s="26"/>
      <c r="AU44" s="26"/>
      <c r="AV44" s="32"/>
    </row>
    <row r="45" customFormat="false" ht="15" hidden="false" customHeight="false" outlineLevel="0" collapsed="false">
      <c r="A45" s="24" t="n">
        <v>42</v>
      </c>
      <c r="B45" s="25" t="str">
        <f aca="true">IF(C45="","",IF(E45="","",IFERROR("BTM-"&amp;LEFT(C45,3)&amp;"-"&amp;E45&amp;"-"&amp;TEXT(TODAY(),"YY")&amp;"-"&amp;TEXT(A45,"000"),"")))</f>
        <v/>
      </c>
      <c r="C45" s="26"/>
      <c r="D45" s="26"/>
      <c r="E45" s="26"/>
      <c r="F45" s="26"/>
      <c r="G45" s="26"/>
      <c r="H45" s="26"/>
      <c r="I45" s="26"/>
      <c r="J45" s="27" t="str">
        <f aca="false">IF(F45="","",IF(I45="","",F45*I45))</f>
        <v/>
      </c>
      <c r="K45" s="26"/>
      <c r="L45" s="26"/>
      <c r="M45" s="27" t="str">
        <f aca="false">IF(OR(J45="",L45="",K45=""),"",IFERROR((J45-K45-IF(O45="Adjust in Plan",N45,0))/L45,"-"))</f>
        <v/>
      </c>
      <c r="N45" s="28"/>
      <c r="O45" s="28"/>
      <c r="P45" s="27" t="n">
        <f aca="false">IFERROR(SUMIF(INSTALMENTS!$C:$C,B45,INSTALMENTS!$I:$I),0)</f>
        <v>0</v>
      </c>
      <c r="Q45" s="27" t="str">
        <f aca="false">IF(J45="","",J45-P45)</f>
        <v/>
      </c>
      <c r="R45" s="25" t="str">
        <f aca="true">IF(J45="","",IF(Q45&lt;=0,"✅ Completed",IF(IFERROR(SUMPRODUCT((INSTALMENTS!$C:$C=B45)*(INSTALMENTS!$F:$F&lt;TODAY())*(INSTALMENTS!$I:$I&lt;INSTALMENTS!$H:$H)),0)&gt;0,"🔴 Overdue","🟢 Active")))</f>
        <v/>
      </c>
      <c r="S45" s="26"/>
      <c r="T45" s="26"/>
      <c r="U45" s="26"/>
      <c r="V45" s="26"/>
      <c r="W45" s="26"/>
      <c r="X45" s="29"/>
      <c r="Y45" s="29"/>
      <c r="Z45" s="29"/>
      <c r="AA45" s="29"/>
      <c r="AB45" s="29"/>
      <c r="AC45" s="29"/>
      <c r="AD45" s="30"/>
      <c r="AE45" s="30"/>
      <c r="AF45" s="30"/>
      <c r="AG45" s="30"/>
      <c r="AH45" s="31"/>
      <c r="AI45" s="31"/>
      <c r="AJ45" s="31"/>
      <c r="AK45" s="31"/>
      <c r="AL45" s="31"/>
      <c r="AM45" s="31"/>
      <c r="AN45" s="26"/>
      <c r="AO45" s="26"/>
      <c r="AP45" s="26"/>
      <c r="AQ45" s="26"/>
      <c r="AR45" s="26"/>
      <c r="AS45" s="26"/>
      <c r="AT45" s="26"/>
      <c r="AU45" s="26"/>
      <c r="AV45" s="32"/>
    </row>
    <row r="46" customFormat="false" ht="15" hidden="false" customHeight="false" outlineLevel="0" collapsed="false">
      <c r="A46" s="24" t="n">
        <v>43</v>
      </c>
      <c r="B46" s="25" t="str">
        <f aca="true">IF(C46="","",IF(E46="","",IFERROR("BTM-"&amp;LEFT(C46,3)&amp;"-"&amp;E46&amp;"-"&amp;TEXT(TODAY(),"YY")&amp;"-"&amp;TEXT(A46,"000"),"")))</f>
        <v/>
      </c>
      <c r="C46" s="26"/>
      <c r="D46" s="26"/>
      <c r="E46" s="26"/>
      <c r="F46" s="26"/>
      <c r="G46" s="26"/>
      <c r="H46" s="26"/>
      <c r="I46" s="26"/>
      <c r="J46" s="27" t="str">
        <f aca="false">IF(F46="","",IF(I46="","",F46*I46))</f>
        <v/>
      </c>
      <c r="K46" s="26"/>
      <c r="L46" s="26"/>
      <c r="M46" s="27" t="str">
        <f aca="false">IF(OR(J46="",L46="",K46=""),"",IFERROR((J46-K46-IF(O46="Adjust in Plan",N46,0))/L46,"-"))</f>
        <v/>
      </c>
      <c r="N46" s="28"/>
      <c r="O46" s="28"/>
      <c r="P46" s="27" t="n">
        <f aca="false">IFERROR(SUMIF(INSTALMENTS!$C:$C,B46,INSTALMENTS!$I:$I),0)</f>
        <v>0</v>
      </c>
      <c r="Q46" s="27" t="str">
        <f aca="false">IF(J46="","",J46-P46)</f>
        <v/>
      </c>
      <c r="R46" s="25" t="str">
        <f aca="true">IF(J46="","",IF(Q46&lt;=0,"✅ Completed",IF(IFERROR(SUMPRODUCT((INSTALMENTS!$C:$C=B46)*(INSTALMENTS!$F:$F&lt;TODAY())*(INSTALMENTS!$I:$I&lt;INSTALMENTS!$H:$H)),0)&gt;0,"🔴 Overdue","🟢 Active")))</f>
        <v/>
      </c>
      <c r="S46" s="26"/>
      <c r="T46" s="26"/>
      <c r="U46" s="26"/>
      <c r="V46" s="26"/>
      <c r="W46" s="26"/>
      <c r="X46" s="29"/>
      <c r="Y46" s="29"/>
      <c r="Z46" s="29"/>
      <c r="AA46" s="29"/>
      <c r="AB46" s="29"/>
      <c r="AC46" s="29"/>
      <c r="AD46" s="30"/>
      <c r="AE46" s="30"/>
      <c r="AF46" s="30"/>
      <c r="AG46" s="30"/>
      <c r="AH46" s="31"/>
      <c r="AI46" s="31"/>
      <c r="AJ46" s="31"/>
      <c r="AK46" s="31"/>
      <c r="AL46" s="31"/>
      <c r="AM46" s="31"/>
      <c r="AN46" s="26"/>
      <c r="AO46" s="26"/>
      <c r="AP46" s="26"/>
      <c r="AQ46" s="26"/>
      <c r="AR46" s="26"/>
      <c r="AS46" s="26"/>
      <c r="AT46" s="26"/>
      <c r="AU46" s="26"/>
      <c r="AV46" s="32"/>
    </row>
    <row r="47" customFormat="false" ht="15" hidden="false" customHeight="false" outlineLevel="0" collapsed="false">
      <c r="A47" s="24" t="n">
        <v>44</v>
      </c>
      <c r="B47" s="25" t="str">
        <f aca="true">IF(C47="","",IF(E47="","",IFERROR("BTM-"&amp;LEFT(C47,3)&amp;"-"&amp;E47&amp;"-"&amp;TEXT(TODAY(),"YY")&amp;"-"&amp;TEXT(A47,"000"),"")))</f>
        <v/>
      </c>
      <c r="C47" s="26"/>
      <c r="D47" s="26"/>
      <c r="E47" s="26"/>
      <c r="F47" s="26"/>
      <c r="G47" s="26"/>
      <c r="H47" s="26"/>
      <c r="I47" s="26"/>
      <c r="J47" s="27" t="str">
        <f aca="false">IF(F47="","",IF(I47="","",F47*I47))</f>
        <v/>
      </c>
      <c r="K47" s="26"/>
      <c r="L47" s="26"/>
      <c r="M47" s="27" t="str">
        <f aca="false">IF(OR(J47="",L47="",K47=""),"",IFERROR((J47-K47-IF(O47="Adjust in Plan",N47,0))/L47,"-"))</f>
        <v/>
      </c>
      <c r="N47" s="28"/>
      <c r="O47" s="28"/>
      <c r="P47" s="27" t="n">
        <f aca="false">IFERROR(SUMIF(INSTALMENTS!$C:$C,B47,INSTALMENTS!$I:$I),0)</f>
        <v>0</v>
      </c>
      <c r="Q47" s="27" t="str">
        <f aca="false">IF(J47="","",J47-P47)</f>
        <v/>
      </c>
      <c r="R47" s="25" t="str">
        <f aca="true">IF(J47="","",IF(Q47&lt;=0,"✅ Completed",IF(IFERROR(SUMPRODUCT((INSTALMENTS!$C:$C=B47)*(INSTALMENTS!$F:$F&lt;TODAY())*(INSTALMENTS!$I:$I&lt;INSTALMENTS!$H:$H)),0)&gt;0,"🔴 Overdue","🟢 Active")))</f>
        <v/>
      </c>
      <c r="S47" s="26"/>
      <c r="T47" s="26"/>
      <c r="U47" s="26"/>
      <c r="V47" s="26"/>
      <c r="W47" s="26"/>
      <c r="X47" s="29"/>
      <c r="Y47" s="29"/>
      <c r="Z47" s="29"/>
      <c r="AA47" s="29"/>
      <c r="AB47" s="29"/>
      <c r="AC47" s="29"/>
      <c r="AD47" s="30"/>
      <c r="AE47" s="30"/>
      <c r="AF47" s="30"/>
      <c r="AG47" s="30"/>
      <c r="AH47" s="31"/>
      <c r="AI47" s="31"/>
      <c r="AJ47" s="31"/>
      <c r="AK47" s="31"/>
      <c r="AL47" s="31"/>
      <c r="AM47" s="31"/>
      <c r="AN47" s="26"/>
      <c r="AO47" s="26"/>
      <c r="AP47" s="26"/>
      <c r="AQ47" s="26"/>
      <c r="AR47" s="26"/>
      <c r="AS47" s="26"/>
      <c r="AT47" s="26"/>
      <c r="AU47" s="26"/>
      <c r="AV47" s="32"/>
    </row>
    <row r="48" customFormat="false" ht="15" hidden="false" customHeight="false" outlineLevel="0" collapsed="false">
      <c r="A48" s="24" t="n">
        <v>45</v>
      </c>
      <c r="B48" s="25" t="str">
        <f aca="true">IF(C48="","",IF(E48="","",IFERROR("BTM-"&amp;LEFT(C48,3)&amp;"-"&amp;E48&amp;"-"&amp;TEXT(TODAY(),"YY")&amp;"-"&amp;TEXT(A48,"000"),"")))</f>
        <v/>
      </c>
      <c r="C48" s="26"/>
      <c r="D48" s="26"/>
      <c r="E48" s="26"/>
      <c r="F48" s="26"/>
      <c r="G48" s="26"/>
      <c r="H48" s="26"/>
      <c r="I48" s="26"/>
      <c r="J48" s="27" t="str">
        <f aca="false">IF(F48="","",IF(I48="","",F48*I48))</f>
        <v/>
      </c>
      <c r="K48" s="26"/>
      <c r="L48" s="26"/>
      <c r="M48" s="27" t="str">
        <f aca="false">IF(OR(J48="",L48="",K48=""),"",IFERROR((J48-K48-IF(O48="Adjust in Plan",N48,0))/L48,"-"))</f>
        <v/>
      </c>
      <c r="N48" s="28"/>
      <c r="O48" s="28"/>
      <c r="P48" s="27" t="n">
        <f aca="false">IFERROR(SUMIF(INSTALMENTS!$C:$C,B48,INSTALMENTS!$I:$I),0)</f>
        <v>0</v>
      </c>
      <c r="Q48" s="27" t="str">
        <f aca="false">IF(J48="","",J48-P48)</f>
        <v/>
      </c>
      <c r="R48" s="25" t="str">
        <f aca="true">IF(J48="","",IF(Q48&lt;=0,"✅ Completed",IF(IFERROR(SUMPRODUCT((INSTALMENTS!$C:$C=B48)*(INSTALMENTS!$F:$F&lt;TODAY())*(INSTALMENTS!$I:$I&lt;INSTALMENTS!$H:$H)),0)&gt;0,"🔴 Overdue","🟢 Active")))</f>
        <v/>
      </c>
      <c r="S48" s="26"/>
      <c r="T48" s="26"/>
      <c r="U48" s="26"/>
      <c r="V48" s="26"/>
      <c r="W48" s="26"/>
      <c r="X48" s="29"/>
      <c r="Y48" s="29"/>
      <c r="Z48" s="29"/>
      <c r="AA48" s="29"/>
      <c r="AB48" s="29"/>
      <c r="AC48" s="29"/>
      <c r="AD48" s="30"/>
      <c r="AE48" s="30"/>
      <c r="AF48" s="30"/>
      <c r="AG48" s="30"/>
      <c r="AH48" s="31"/>
      <c r="AI48" s="31"/>
      <c r="AJ48" s="31"/>
      <c r="AK48" s="31"/>
      <c r="AL48" s="31"/>
      <c r="AM48" s="31"/>
      <c r="AN48" s="26"/>
      <c r="AO48" s="26"/>
      <c r="AP48" s="26"/>
      <c r="AQ48" s="26"/>
      <c r="AR48" s="26"/>
      <c r="AS48" s="26"/>
      <c r="AT48" s="26"/>
      <c r="AU48" s="26"/>
      <c r="AV48" s="32"/>
    </row>
    <row r="49" customFormat="false" ht="15" hidden="false" customHeight="false" outlineLevel="0" collapsed="false">
      <c r="A49" s="24" t="n">
        <v>46</v>
      </c>
      <c r="B49" s="25" t="str">
        <f aca="true">IF(C49="","",IF(E49="","",IFERROR("BTM-"&amp;LEFT(C49,3)&amp;"-"&amp;E49&amp;"-"&amp;TEXT(TODAY(),"YY")&amp;"-"&amp;TEXT(A49,"000"),"")))</f>
        <v/>
      </c>
      <c r="C49" s="26"/>
      <c r="D49" s="26"/>
      <c r="E49" s="26"/>
      <c r="F49" s="26"/>
      <c r="G49" s="26"/>
      <c r="H49" s="26"/>
      <c r="I49" s="26"/>
      <c r="J49" s="27" t="str">
        <f aca="false">IF(F49="","",IF(I49="","",F49*I49))</f>
        <v/>
      </c>
      <c r="K49" s="26"/>
      <c r="L49" s="26"/>
      <c r="M49" s="27" t="str">
        <f aca="false">IF(OR(J49="",L49="",K49=""),"",IFERROR((J49-K49-IF(O49="Adjust in Plan",N49,0))/L49,"-"))</f>
        <v/>
      </c>
      <c r="N49" s="28"/>
      <c r="O49" s="28"/>
      <c r="P49" s="27" t="n">
        <f aca="false">IFERROR(SUMIF(INSTALMENTS!$C:$C,B49,INSTALMENTS!$I:$I),0)</f>
        <v>0</v>
      </c>
      <c r="Q49" s="27" t="str">
        <f aca="false">IF(J49="","",J49-P49)</f>
        <v/>
      </c>
      <c r="R49" s="25" t="str">
        <f aca="true">IF(J49="","",IF(Q49&lt;=0,"✅ Completed",IF(IFERROR(SUMPRODUCT((INSTALMENTS!$C:$C=B49)*(INSTALMENTS!$F:$F&lt;TODAY())*(INSTALMENTS!$I:$I&lt;INSTALMENTS!$H:$H)),0)&gt;0,"🔴 Overdue","🟢 Active")))</f>
        <v/>
      </c>
      <c r="S49" s="26"/>
      <c r="T49" s="26"/>
      <c r="U49" s="26"/>
      <c r="V49" s="26"/>
      <c r="W49" s="26"/>
      <c r="X49" s="29"/>
      <c r="Y49" s="29"/>
      <c r="Z49" s="29"/>
      <c r="AA49" s="29"/>
      <c r="AB49" s="29"/>
      <c r="AC49" s="29"/>
      <c r="AD49" s="30"/>
      <c r="AE49" s="30"/>
      <c r="AF49" s="30"/>
      <c r="AG49" s="30"/>
      <c r="AH49" s="31"/>
      <c r="AI49" s="31"/>
      <c r="AJ49" s="31"/>
      <c r="AK49" s="31"/>
      <c r="AL49" s="31"/>
      <c r="AM49" s="31"/>
      <c r="AN49" s="26"/>
      <c r="AO49" s="26"/>
      <c r="AP49" s="26"/>
      <c r="AQ49" s="26"/>
      <c r="AR49" s="26"/>
      <c r="AS49" s="26"/>
      <c r="AT49" s="26"/>
      <c r="AU49" s="26"/>
      <c r="AV49" s="32"/>
    </row>
    <row r="50" customFormat="false" ht="15" hidden="false" customHeight="false" outlineLevel="0" collapsed="false">
      <c r="A50" s="24" t="n">
        <v>47</v>
      </c>
      <c r="B50" s="25" t="str">
        <f aca="true">IF(C50="","",IF(E50="","",IFERROR("BTM-"&amp;LEFT(C50,3)&amp;"-"&amp;E50&amp;"-"&amp;TEXT(TODAY(),"YY")&amp;"-"&amp;TEXT(A50,"000"),"")))</f>
        <v/>
      </c>
      <c r="C50" s="26"/>
      <c r="D50" s="26"/>
      <c r="E50" s="26"/>
      <c r="F50" s="26"/>
      <c r="G50" s="26"/>
      <c r="H50" s="26"/>
      <c r="I50" s="26"/>
      <c r="J50" s="27" t="str">
        <f aca="false">IF(F50="","",IF(I50="","",F50*I50))</f>
        <v/>
      </c>
      <c r="K50" s="26"/>
      <c r="L50" s="26"/>
      <c r="M50" s="27" t="str">
        <f aca="false">IF(OR(J50="",L50="",K50=""),"",IFERROR((J50-K50-IF(O50="Adjust in Plan",N50,0))/L50,"-"))</f>
        <v/>
      </c>
      <c r="N50" s="28"/>
      <c r="O50" s="28"/>
      <c r="P50" s="27" t="n">
        <f aca="false">IFERROR(SUMIF(INSTALMENTS!$C:$C,B50,INSTALMENTS!$I:$I),0)</f>
        <v>0</v>
      </c>
      <c r="Q50" s="27" t="str">
        <f aca="false">IF(J50="","",J50-P50)</f>
        <v/>
      </c>
      <c r="R50" s="25" t="str">
        <f aca="true">IF(J50="","",IF(Q50&lt;=0,"✅ Completed",IF(IFERROR(SUMPRODUCT((INSTALMENTS!$C:$C=B50)*(INSTALMENTS!$F:$F&lt;TODAY())*(INSTALMENTS!$I:$I&lt;INSTALMENTS!$H:$H)),0)&gt;0,"🔴 Overdue","🟢 Active")))</f>
        <v/>
      </c>
      <c r="S50" s="26"/>
      <c r="T50" s="26"/>
      <c r="U50" s="26"/>
      <c r="V50" s="26"/>
      <c r="W50" s="26"/>
      <c r="X50" s="29"/>
      <c r="Y50" s="29"/>
      <c r="Z50" s="29"/>
      <c r="AA50" s="29"/>
      <c r="AB50" s="29"/>
      <c r="AC50" s="29"/>
      <c r="AD50" s="30"/>
      <c r="AE50" s="30"/>
      <c r="AF50" s="30"/>
      <c r="AG50" s="30"/>
      <c r="AH50" s="31"/>
      <c r="AI50" s="31"/>
      <c r="AJ50" s="31"/>
      <c r="AK50" s="31"/>
      <c r="AL50" s="31"/>
      <c r="AM50" s="31"/>
      <c r="AN50" s="26"/>
      <c r="AO50" s="26"/>
      <c r="AP50" s="26"/>
      <c r="AQ50" s="26"/>
      <c r="AR50" s="26"/>
      <c r="AS50" s="26"/>
      <c r="AT50" s="26"/>
      <c r="AU50" s="26"/>
      <c r="AV50" s="32"/>
    </row>
    <row r="51" customFormat="false" ht="15" hidden="false" customHeight="false" outlineLevel="0" collapsed="false">
      <c r="A51" s="24" t="n">
        <v>48</v>
      </c>
      <c r="B51" s="25" t="str">
        <f aca="true">IF(C51="","",IF(E51="","",IFERROR("BTM-"&amp;LEFT(C51,3)&amp;"-"&amp;E51&amp;"-"&amp;TEXT(TODAY(),"YY")&amp;"-"&amp;TEXT(A51,"000"),"")))</f>
        <v/>
      </c>
      <c r="C51" s="26"/>
      <c r="D51" s="26"/>
      <c r="E51" s="26"/>
      <c r="F51" s="26"/>
      <c r="G51" s="26"/>
      <c r="H51" s="26"/>
      <c r="I51" s="26"/>
      <c r="J51" s="27" t="str">
        <f aca="false">IF(F51="","",IF(I51="","",F51*I51))</f>
        <v/>
      </c>
      <c r="K51" s="26"/>
      <c r="L51" s="26"/>
      <c r="M51" s="27" t="str">
        <f aca="false">IF(OR(J51="",L51="",K51=""),"",IFERROR((J51-K51-IF(O51="Adjust in Plan",N51,0))/L51,"-"))</f>
        <v/>
      </c>
      <c r="N51" s="28"/>
      <c r="O51" s="28"/>
      <c r="P51" s="27" t="n">
        <f aca="false">IFERROR(SUMIF(INSTALMENTS!$C:$C,B51,INSTALMENTS!$I:$I),0)</f>
        <v>0</v>
      </c>
      <c r="Q51" s="27" t="str">
        <f aca="false">IF(J51="","",J51-P51)</f>
        <v/>
      </c>
      <c r="R51" s="25" t="str">
        <f aca="true">IF(J51="","",IF(Q51&lt;=0,"✅ Completed",IF(IFERROR(SUMPRODUCT((INSTALMENTS!$C:$C=B51)*(INSTALMENTS!$F:$F&lt;TODAY())*(INSTALMENTS!$I:$I&lt;INSTALMENTS!$H:$H)),0)&gt;0,"🔴 Overdue","🟢 Active")))</f>
        <v/>
      </c>
      <c r="S51" s="26"/>
      <c r="T51" s="26"/>
      <c r="U51" s="26"/>
      <c r="V51" s="26"/>
      <c r="W51" s="26"/>
      <c r="X51" s="29"/>
      <c r="Y51" s="29"/>
      <c r="Z51" s="29"/>
      <c r="AA51" s="29"/>
      <c r="AB51" s="29"/>
      <c r="AC51" s="29"/>
      <c r="AD51" s="30"/>
      <c r="AE51" s="30"/>
      <c r="AF51" s="30"/>
      <c r="AG51" s="30"/>
      <c r="AH51" s="31"/>
      <c r="AI51" s="31"/>
      <c r="AJ51" s="31"/>
      <c r="AK51" s="31"/>
      <c r="AL51" s="31"/>
      <c r="AM51" s="31"/>
      <c r="AN51" s="26"/>
      <c r="AO51" s="26"/>
      <c r="AP51" s="26"/>
      <c r="AQ51" s="26"/>
      <c r="AR51" s="26"/>
      <c r="AS51" s="26"/>
      <c r="AT51" s="26"/>
      <c r="AU51" s="26"/>
      <c r="AV51" s="32"/>
    </row>
    <row r="52" customFormat="false" ht="15" hidden="false" customHeight="false" outlineLevel="0" collapsed="false">
      <c r="A52" s="24" t="n">
        <v>49</v>
      </c>
      <c r="B52" s="25" t="str">
        <f aca="true">IF(C52="","",IF(E52="","",IFERROR("BTM-"&amp;LEFT(C52,3)&amp;"-"&amp;E52&amp;"-"&amp;TEXT(TODAY(),"YY")&amp;"-"&amp;TEXT(A52,"000"),"")))</f>
        <v/>
      </c>
      <c r="C52" s="26"/>
      <c r="D52" s="26"/>
      <c r="E52" s="26"/>
      <c r="F52" s="26"/>
      <c r="G52" s="26"/>
      <c r="H52" s="26"/>
      <c r="I52" s="26"/>
      <c r="J52" s="27" t="str">
        <f aca="false">IF(F52="","",IF(I52="","",F52*I52))</f>
        <v/>
      </c>
      <c r="K52" s="26"/>
      <c r="L52" s="26"/>
      <c r="M52" s="27" t="str">
        <f aca="false">IF(OR(J52="",L52="",K52=""),"",IFERROR((J52-K52-IF(O52="Adjust in Plan",N52,0))/L52,"-"))</f>
        <v/>
      </c>
      <c r="N52" s="28"/>
      <c r="O52" s="28"/>
      <c r="P52" s="27" t="n">
        <f aca="false">IFERROR(SUMIF(INSTALMENTS!$C:$C,B52,INSTALMENTS!$I:$I),0)</f>
        <v>0</v>
      </c>
      <c r="Q52" s="27" t="str">
        <f aca="false">IF(J52="","",J52-P52)</f>
        <v/>
      </c>
      <c r="R52" s="25" t="str">
        <f aca="true">IF(J52="","",IF(Q52&lt;=0,"✅ Completed",IF(IFERROR(SUMPRODUCT((INSTALMENTS!$C:$C=B52)*(INSTALMENTS!$F:$F&lt;TODAY())*(INSTALMENTS!$I:$I&lt;INSTALMENTS!$H:$H)),0)&gt;0,"🔴 Overdue","🟢 Active")))</f>
        <v/>
      </c>
      <c r="S52" s="26"/>
      <c r="T52" s="26"/>
      <c r="U52" s="26"/>
      <c r="V52" s="26"/>
      <c r="W52" s="26"/>
      <c r="X52" s="29"/>
      <c r="Y52" s="29"/>
      <c r="Z52" s="29"/>
      <c r="AA52" s="29"/>
      <c r="AB52" s="29"/>
      <c r="AC52" s="29"/>
      <c r="AD52" s="30"/>
      <c r="AE52" s="30"/>
      <c r="AF52" s="30"/>
      <c r="AG52" s="30"/>
      <c r="AH52" s="31"/>
      <c r="AI52" s="31"/>
      <c r="AJ52" s="31"/>
      <c r="AK52" s="31"/>
      <c r="AL52" s="31"/>
      <c r="AM52" s="31"/>
      <c r="AN52" s="26"/>
      <c r="AO52" s="26"/>
      <c r="AP52" s="26"/>
      <c r="AQ52" s="26"/>
      <c r="AR52" s="26"/>
      <c r="AS52" s="26"/>
      <c r="AT52" s="26"/>
      <c r="AU52" s="26"/>
      <c r="AV52" s="32"/>
    </row>
    <row r="53" customFormat="false" ht="15" hidden="false" customHeight="false" outlineLevel="0" collapsed="false">
      <c r="A53" s="24" t="n">
        <v>50</v>
      </c>
      <c r="B53" s="25" t="str">
        <f aca="true">IF(C53="","",IF(E53="","",IFERROR("BTM-"&amp;LEFT(C53,3)&amp;"-"&amp;E53&amp;"-"&amp;TEXT(TODAY(),"YY")&amp;"-"&amp;TEXT(A53,"000"),"")))</f>
        <v/>
      </c>
      <c r="C53" s="26"/>
      <c r="D53" s="26"/>
      <c r="E53" s="26"/>
      <c r="F53" s="26"/>
      <c r="G53" s="26"/>
      <c r="H53" s="26"/>
      <c r="I53" s="26"/>
      <c r="J53" s="27" t="str">
        <f aca="false">IF(F53="","",IF(I53="","",F53*I53))</f>
        <v/>
      </c>
      <c r="K53" s="26"/>
      <c r="L53" s="26"/>
      <c r="M53" s="27" t="str">
        <f aca="false">IF(OR(J53="",L53="",K53=""),"",IFERROR((J53-K53-IF(O53="Adjust in Plan",N53,0))/L53,"-"))</f>
        <v/>
      </c>
      <c r="N53" s="28"/>
      <c r="O53" s="28"/>
      <c r="P53" s="27" t="n">
        <f aca="false">IFERROR(SUMIF(INSTALMENTS!$C:$C,B53,INSTALMENTS!$I:$I),0)</f>
        <v>0</v>
      </c>
      <c r="Q53" s="27" t="str">
        <f aca="false">IF(J53="","",J53-P53)</f>
        <v/>
      </c>
      <c r="R53" s="25" t="str">
        <f aca="true">IF(J53="","",IF(Q53&lt;=0,"✅ Completed",IF(IFERROR(SUMPRODUCT((INSTALMENTS!$C:$C=B53)*(INSTALMENTS!$F:$F&lt;TODAY())*(INSTALMENTS!$I:$I&lt;INSTALMENTS!$H:$H)),0)&gt;0,"🔴 Overdue","🟢 Active")))</f>
        <v/>
      </c>
      <c r="S53" s="26"/>
      <c r="T53" s="26"/>
      <c r="U53" s="26"/>
      <c r="V53" s="26"/>
      <c r="W53" s="26"/>
      <c r="X53" s="29"/>
      <c r="Y53" s="29"/>
      <c r="Z53" s="29"/>
      <c r="AA53" s="29"/>
      <c r="AB53" s="29"/>
      <c r="AC53" s="29"/>
      <c r="AD53" s="30"/>
      <c r="AE53" s="30"/>
      <c r="AF53" s="30"/>
      <c r="AG53" s="30"/>
      <c r="AH53" s="31"/>
      <c r="AI53" s="31"/>
      <c r="AJ53" s="31"/>
      <c r="AK53" s="31"/>
      <c r="AL53" s="31"/>
      <c r="AM53" s="31"/>
      <c r="AN53" s="26"/>
      <c r="AO53" s="26"/>
      <c r="AP53" s="26"/>
      <c r="AQ53" s="26"/>
      <c r="AR53" s="26"/>
      <c r="AS53" s="26"/>
      <c r="AT53" s="26"/>
      <c r="AU53" s="26"/>
      <c r="AV53" s="32"/>
    </row>
    <row r="54" customFormat="false" ht="15" hidden="false" customHeight="false" outlineLevel="0" collapsed="false">
      <c r="A54" s="24" t="n">
        <v>51</v>
      </c>
      <c r="B54" s="25" t="str">
        <f aca="true">IF(C54="","",IF(E54="","",IFERROR("BTM-"&amp;LEFT(C54,3)&amp;"-"&amp;E54&amp;"-"&amp;TEXT(TODAY(),"YY")&amp;"-"&amp;TEXT(A54,"000"),"")))</f>
        <v/>
      </c>
      <c r="C54" s="26"/>
      <c r="D54" s="26"/>
      <c r="E54" s="26"/>
      <c r="F54" s="26"/>
      <c r="G54" s="26"/>
      <c r="H54" s="26"/>
      <c r="I54" s="26"/>
      <c r="J54" s="27" t="str">
        <f aca="false">IF(F54="","",IF(I54="","",F54*I54))</f>
        <v/>
      </c>
      <c r="K54" s="26"/>
      <c r="L54" s="26"/>
      <c r="M54" s="27" t="str">
        <f aca="false">IF(OR(J54="",L54="",K54=""),"",IFERROR((J54-K54-IF(O54="Adjust in Plan",N54,0))/L54,"-"))</f>
        <v/>
      </c>
      <c r="N54" s="28"/>
      <c r="O54" s="28"/>
      <c r="P54" s="27" t="n">
        <f aca="false">IFERROR(SUMIF(INSTALMENTS!$C:$C,B54,INSTALMENTS!$I:$I),0)</f>
        <v>0</v>
      </c>
      <c r="Q54" s="27" t="str">
        <f aca="false">IF(J54="","",J54-P54)</f>
        <v/>
      </c>
      <c r="R54" s="25" t="str">
        <f aca="true">IF(J54="","",IF(Q54&lt;=0,"✅ Completed",IF(IFERROR(SUMPRODUCT((INSTALMENTS!$C:$C=B54)*(INSTALMENTS!$F:$F&lt;TODAY())*(INSTALMENTS!$I:$I&lt;INSTALMENTS!$H:$H)),0)&gt;0,"🔴 Overdue","🟢 Active")))</f>
        <v/>
      </c>
      <c r="S54" s="26"/>
      <c r="T54" s="26"/>
      <c r="U54" s="26"/>
      <c r="V54" s="26"/>
      <c r="W54" s="26"/>
      <c r="X54" s="29"/>
      <c r="Y54" s="29"/>
      <c r="Z54" s="29"/>
      <c r="AA54" s="29"/>
      <c r="AB54" s="29"/>
      <c r="AC54" s="29"/>
      <c r="AD54" s="30"/>
      <c r="AE54" s="30"/>
      <c r="AF54" s="30"/>
      <c r="AG54" s="30"/>
      <c r="AH54" s="31"/>
      <c r="AI54" s="31"/>
      <c r="AJ54" s="31"/>
      <c r="AK54" s="31"/>
      <c r="AL54" s="31"/>
      <c r="AM54" s="31"/>
      <c r="AN54" s="26"/>
      <c r="AO54" s="26"/>
      <c r="AP54" s="26"/>
      <c r="AQ54" s="26"/>
      <c r="AR54" s="26"/>
      <c r="AS54" s="26"/>
      <c r="AT54" s="26"/>
      <c r="AU54" s="26"/>
      <c r="AV54" s="32"/>
    </row>
    <row r="55" customFormat="false" ht="15" hidden="false" customHeight="false" outlineLevel="0" collapsed="false">
      <c r="A55" s="24" t="n">
        <v>52</v>
      </c>
      <c r="B55" s="25" t="str">
        <f aca="true">IF(C55="","",IF(E55="","",IFERROR("BTM-"&amp;LEFT(C55,3)&amp;"-"&amp;E55&amp;"-"&amp;TEXT(TODAY(),"YY")&amp;"-"&amp;TEXT(A55,"000"),"")))</f>
        <v/>
      </c>
      <c r="C55" s="26"/>
      <c r="D55" s="26"/>
      <c r="E55" s="26"/>
      <c r="F55" s="26"/>
      <c r="G55" s="26"/>
      <c r="H55" s="26"/>
      <c r="I55" s="26"/>
      <c r="J55" s="27" t="str">
        <f aca="false">IF(F55="","",IF(I55="","",F55*I55))</f>
        <v/>
      </c>
      <c r="K55" s="26"/>
      <c r="L55" s="26"/>
      <c r="M55" s="27" t="str">
        <f aca="false">IF(OR(J55="",L55="",K55=""),"",IFERROR((J55-K55-IF(O55="Adjust in Plan",N55,0))/L55,"-"))</f>
        <v/>
      </c>
      <c r="N55" s="28"/>
      <c r="O55" s="28"/>
      <c r="P55" s="27" t="n">
        <f aca="false">IFERROR(SUMIF(INSTALMENTS!$C:$C,B55,INSTALMENTS!$I:$I),0)</f>
        <v>0</v>
      </c>
      <c r="Q55" s="27" t="str">
        <f aca="false">IF(J55="","",J55-P55)</f>
        <v/>
      </c>
      <c r="R55" s="25" t="str">
        <f aca="true">IF(J55="","",IF(Q55&lt;=0,"✅ Completed",IF(IFERROR(SUMPRODUCT((INSTALMENTS!$C:$C=B55)*(INSTALMENTS!$F:$F&lt;TODAY())*(INSTALMENTS!$I:$I&lt;INSTALMENTS!$H:$H)),0)&gt;0,"🔴 Overdue","🟢 Active")))</f>
        <v/>
      </c>
      <c r="S55" s="26"/>
      <c r="T55" s="26"/>
      <c r="U55" s="26"/>
      <c r="V55" s="26"/>
      <c r="W55" s="26"/>
      <c r="X55" s="29"/>
      <c r="Y55" s="29"/>
      <c r="Z55" s="29"/>
      <c r="AA55" s="29"/>
      <c r="AB55" s="29"/>
      <c r="AC55" s="29"/>
      <c r="AD55" s="30"/>
      <c r="AE55" s="30"/>
      <c r="AF55" s="30"/>
      <c r="AG55" s="30"/>
      <c r="AH55" s="31"/>
      <c r="AI55" s="31"/>
      <c r="AJ55" s="31"/>
      <c r="AK55" s="31"/>
      <c r="AL55" s="31"/>
      <c r="AM55" s="31"/>
      <c r="AN55" s="26"/>
      <c r="AO55" s="26"/>
      <c r="AP55" s="26"/>
      <c r="AQ55" s="26"/>
      <c r="AR55" s="26"/>
      <c r="AS55" s="26"/>
      <c r="AT55" s="26"/>
      <c r="AU55" s="26"/>
      <c r="AV55" s="32"/>
    </row>
    <row r="56" customFormat="false" ht="15" hidden="false" customHeight="false" outlineLevel="0" collapsed="false">
      <c r="A56" s="24" t="n">
        <v>53</v>
      </c>
      <c r="B56" s="25" t="str">
        <f aca="true">IF(C56="","",IF(E56="","",IFERROR("BTM-"&amp;LEFT(C56,3)&amp;"-"&amp;E56&amp;"-"&amp;TEXT(TODAY(),"YY")&amp;"-"&amp;TEXT(A56,"000"),"")))</f>
        <v/>
      </c>
      <c r="C56" s="26"/>
      <c r="D56" s="26"/>
      <c r="E56" s="26"/>
      <c r="F56" s="26"/>
      <c r="G56" s="26"/>
      <c r="H56" s="26"/>
      <c r="I56" s="26"/>
      <c r="J56" s="27" t="str">
        <f aca="false">IF(F56="","",IF(I56="","",F56*I56))</f>
        <v/>
      </c>
      <c r="K56" s="26"/>
      <c r="L56" s="26"/>
      <c r="M56" s="27" t="str">
        <f aca="false">IF(OR(J56="",L56="",K56=""),"",IFERROR((J56-K56-IF(O56="Adjust in Plan",N56,0))/L56,"-"))</f>
        <v/>
      </c>
      <c r="N56" s="28"/>
      <c r="O56" s="28"/>
      <c r="P56" s="27" t="n">
        <f aca="false">IFERROR(SUMIF(INSTALMENTS!$C:$C,B56,INSTALMENTS!$I:$I),0)</f>
        <v>0</v>
      </c>
      <c r="Q56" s="27" t="str">
        <f aca="false">IF(J56="","",J56-P56)</f>
        <v/>
      </c>
      <c r="R56" s="25" t="str">
        <f aca="true">IF(J56="","",IF(Q56&lt;=0,"✅ Completed",IF(IFERROR(SUMPRODUCT((INSTALMENTS!$C:$C=B56)*(INSTALMENTS!$F:$F&lt;TODAY())*(INSTALMENTS!$I:$I&lt;INSTALMENTS!$H:$H)),0)&gt;0,"🔴 Overdue","🟢 Active")))</f>
        <v/>
      </c>
      <c r="S56" s="26"/>
      <c r="T56" s="26"/>
      <c r="U56" s="26"/>
      <c r="V56" s="26"/>
      <c r="W56" s="26"/>
      <c r="X56" s="29"/>
      <c r="Y56" s="29"/>
      <c r="Z56" s="29"/>
      <c r="AA56" s="29"/>
      <c r="AB56" s="29"/>
      <c r="AC56" s="29"/>
      <c r="AD56" s="30"/>
      <c r="AE56" s="30"/>
      <c r="AF56" s="30"/>
      <c r="AG56" s="30"/>
      <c r="AH56" s="31"/>
      <c r="AI56" s="31"/>
      <c r="AJ56" s="31"/>
      <c r="AK56" s="31"/>
      <c r="AL56" s="31"/>
      <c r="AM56" s="31"/>
      <c r="AN56" s="26"/>
      <c r="AO56" s="26"/>
      <c r="AP56" s="26"/>
      <c r="AQ56" s="26"/>
      <c r="AR56" s="26"/>
      <c r="AS56" s="26"/>
      <c r="AT56" s="26"/>
      <c r="AU56" s="26"/>
      <c r="AV56" s="32"/>
    </row>
    <row r="57" customFormat="false" ht="15" hidden="false" customHeight="false" outlineLevel="0" collapsed="false">
      <c r="A57" s="24" t="n">
        <v>54</v>
      </c>
      <c r="B57" s="25" t="str">
        <f aca="true">IF(C57="","",IF(E57="","",IFERROR("BTM-"&amp;LEFT(C57,3)&amp;"-"&amp;E57&amp;"-"&amp;TEXT(TODAY(),"YY")&amp;"-"&amp;TEXT(A57,"000"),"")))</f>
        <v/>
      </c>
      <c r="C57" s="26"/>
      <c r="D57" s="26"/>
      <c r="E57" s="26"/>
      <c r="F57" s="26"/>
      <c r="G57" s="26"/>
      <c r="H57" s="26"/>
      <c r="I57" s="26"/>
      <c r="J57" s="27" t="str">
        <f aca="false">IF(F57="","",IF(I57="","",F57*I57))</f>
        <v/>
      </c>
      <c r="K57" s="26"/>
      <c r="L57" s="26"/>
      <c r="M57" s="27" t="str">
        <f aca="false">IF(OR(J57="",L57="",K57=""),"",IFERROR((J57-K57-IF(O57="Adjust in Plan",N57,0))/L57,"-"))</f>
        <v/>
      </c>
      <c r="N57" s="28"/>
      <c r="O57" s="28"/>
      <c r="P57" s="27" t="n">
        <f aca="false">IFERROR(SUMIF(INSTALMENTS!$C:$C,B57,INSTALMENTS!$I:$I),0)</f>
        <v>0</v>
      </c>
      <c r="Q57" s="27" t="str">
        <f aca="false">IF(J57="","",J57-P57)</f>
        <v/>
      </c>
      <c r="R57" s="25" t="str">
        <f aca="true">IF(J57="","",IF(Q57&lt;=0,"✅ Completed",IF(IFERROR(SUMPRODUCT((INSTALMENTS!$C:$C=B57)*(INSTALMENTS!$F:$F&lt;TODAY())*(INSTALMENTS!$I:$I&lt;INSTALMENTS!$H:$H)),0)&gt;0,"🔴 Overdue","🟢 Active")))</f>
        <v/>
      </c>
      <c r="S57" s="26"/>
      <c r="T57" s="26"/>
      <c r="U57" s="26"/>
      <c r="V57" s="26"/>
      <c r="W57" s="26"/>
      <c r="X57" s="29"/>
      <c r="Y57" s="29"/>
      <c r="Z57" s="29"/>
      <c r="AA57" s="29"/>
      <c r="AB57" s="29"/>
      <c r="AC57" s="29"/>
      <c r="AD57" s="30"/>
      <c r="AE57" s="30"/>
      <c r="AF57" s="30"/>
      <c r="AG57" s="30"/>
      <c r="AH57" s="31"/>
      <c r="AI57" s="31"/>
      <c r="AJ57" s="31"/>
      <c r="AK57" s="31"/>
      <c r="AL57" s="31"/>
      <c r="AM57" s="31"/>
      <c r="AN57" s="26"/>
      <c r="AO57" s="26"/>
      <c r="AP57" s="26"/>
      <c r="AQ57" s="26"/>
      <c r="AR57" s="26"/>
      <c r="AS57" s="26"/>
      <c r="AT57" s="26"/>
      <c r="AU57" s="26"/>
      <c r="AV57" s="32"/>
    </row>
    <row r="58" customFormat="false" ht="15" hidden="false" customHeight="false" outlineLevel="0" collapsed="false">
      <c r="A58" s="24" t="n">
        <v>55</v>
      </c>
      <c r="B58" s="25" t="str">
        <f aca="true">IF(C58="","",IF(E58="","",IFERROR("BTM-"&amp;LEFT(C58,3)&amp;"-"&amp;E58&amp;"-"&amp;TEXT(TODAY(),"YY")&amp;"-"&amp;TEXT(A58,"000"),"")))</f>
        <v/>
      </c>
      <c r="C58" s="26"/>
      <c r="D58" s="26"/>
      <c r="E58" s="26"/>
      <c r="F58" s="26"/>
      <c r="G58" s="26"/>
      <c r="H58" s="26"/>
      <c r="I58" s="26"/>
      <c r="J58" s="27" t="str">
        <f aca="false">IF(F58="","",IF(I58="","",F58*I58))</f>
        <v/>
      </c>
      <c r="K58" s="26"/>
      <c r="L58" s="26"/>
      <c r="M58" s="27" t="str">
        <f aca="false">IF(OR(J58="",L58="",K58=""),"",IFERROR((J58-K58-IF(O58="Adjust in Plan",N58,0))/L58,"-"))</f>
        <v/>
      </c>
      <c r="N58" s="28"/>
      <c r="O58" s="28"/>
      <c r="P58" s="27" t="n">
        <f aca="false">IFERROR(SUMIF(INSTALMENTS!$C:$C,B58,INSTALMENTS!$I:$I),0)</f>
        <v>0</v>
      </c>
      <c r="Q58" s="27" t="str">
        <f aca="false">IF(J58="","",J58-P58)</f>
        <v/>
      </c>
      <c r="R58" s="25" t="str">
        <f aca="true">IF(J58="","",IF(Q58&lt;=0,"✅ Completed",IF(IFERROR(SUMPRODUCT((INSTALMENTS!$C:$C=B58)*(INSTALMENTS!$F:$F&lt;TODAY())*(INSTALMENTS!$I:$I&lt;INSTALMENTS!$H:$H)),0)&gt;0,"🔴 Overdue","🟢 Active")))</f>
        <v/>
      </c>
      <c r="S58" s="26"/>
      <c r="T58" s="26"/>
      <c r="U58" s="26"/>
      <c r="V58" s="26"/>
      <c r="W58" s="26"/>
      <c r="X58" s="29"/>
      <c r="Y58" s="29"/>
      <c r="Z58" s="29"/>
      <c r="AA58" s="29"/>
      <c r="AB58" s="29"/>
      <c r="AC58" s="29"/>
      <c r="AD58" s="30"/>
      <c r="AE58" s="30"/>
      <c r="AF58" s="30"/>
      <c r="AG58" s="30"/>
      <c r="AH58" s="31"/>
      <c r="AI58" s="31"/>
      <c r="AJ58" s="31"/>
      <c r="AK58" s="31"/>
      <c r="AL58" s="31"/>
      <c r="AM58" s="31"/>
      <c r="AN58" s="26"/>
      <c r="AO58" s="26"/>
      <c r="AP58" s="26"/>
      <c r="AQ58" s="26"/>
      <c r="AR58" s="26"/>
      <c r="AS58" s="26"/>
      <c r="AT58" s="26"/>
      <c r="AU58" s="26"/>
      <c r="AV58" s="32"/>
    </row>
    <row r="59" customFormat="false" ht="15" hidden="false" customHeight="false" outlineLevel="0" collapsed="false">
      <c r="A59" s="24" t="n">
        <v>56</v>
      </c>
      <c r="B59" s="25" t="str">
        <f aca="true">IF(C59="","",IF(E59="","",IFERROR("BTM-"&amp;LEFT(C59,3)&amp;"-"&amp;E59&amp;"-"&amp;TEXT(TODAY(),"YY")&amp;"-"&amp;TEXT(A59,"000"),"")))</f>
        <v/>
      </c>
      <c r="C59" s="26"/>
      <c r="D59" s="26"/>
      <c r="E59" s="26"/>
      <c r="F59" s="26"/>
      <c r="G59" s="26"/>
      <c r="H59" s="26"/>
      <c r="I59" s="26"/>
      <c r="J59" s="27" t="str">
        <f aca="false">IF(F59="","",IF(I59="","",F59*I59))</f>
        <v/>
      </c>
      <c r="K59" s="26"/>
      <c r="L59" s="26"/>
      <c r="M59" s="27" t="str">
        <f aca="false">IF(OR(J59="",L59="",K59=""),"",IFERROR((J59-K59-IF(O59="Adjust in Plan",N59,0))/L59,"-"))</f>
        <v/>
      </c>
      <c r="N59" s="28"/>
      <c r="O59" s="28"/>
      <c r="P59" s="27" t="n">
        <f aca="false">IFERROR(SUMIF(INSTALMENTS!$C:$C,B59,INSTALMENTS!$I:$I),0)</f>
        <v>0</v>
      </c>
      <c r="Q59" s="27" t="str">
        <f aca="false">IF(J59="","",J59-P59)</f>
        <v/>
      </c>
      <c r="R59" s="25" t="str">
        <f aca="true">IF(J59="","",IF(Q59&lt;=0,"✅ Completed",IF(IFERROR(SUMPRODUCT((INSTALMENTS!$C:$C=B59)*(INSTALMENTS!$F:$F&lt;TODAY())*(INSTALMENTS!$I:$I&lt;INSTALMENTS!$H:$H)),0)&gt;0,"🔴 Overdue","🟢 Active")))</f>
        <v/>
      </c>
      <c r="S59" s="26"/>
      <c r="T59" s="26"/>
      <c r="U59" s="26"/>
      <c r="V59" s="26"/>
      <c r="W59" s="26"/>
      <c r="X59" s="29"/>
      <c r="Y59" s="29"/>
      <c r="Z59" s="29"/>
      <c r="AA59" s="29"/>
      <c r="AB59" s="29"/>
      <c r="AC59" s="29"/>
      <c r="AD59" s="30"/>
      <c r="AE59" s="30"/>
      <c r="AF59" s="30"/>
      <c r="AG59" s="30"/>
      <c r="AH59" s="31"/>
      <c r="AI59" s="31"/>
      <c r="AJ59" s="31"/>
      <c r="AK59" s="31"/>
      <c r="AL59" s="31"/>
      <c r="AM59" s="31"/>
      <c r="AN59" s="26"/>
      <c r="AO59" s="26"/>
      <c r="AP59" s="26"/>
      <c r="AQ59" s="26"/>
      <c r="AR59" s="26"/>
      <c r="AS59" s="26"/>
      <c r="AT59" s="26"/>
      <c r="AU59" s="26"/>
      <c r="AV59" s="32"/>
    </row>
    <row r="60" customFormat="false" ht="15" hidden="false" customHeight="false" outlineLevel="0" collapsed="false">
      <c r="A60" s="24" t="n">
        <v>57</v>
      </c>
      <c r="B60" s="25" t="str">
        <f aca="true">IF(C60="","",IF(E60="","",IFERROR("BTM-"&amp;LEFT(C60,3)&amp;"-"&amp;E60&amp;"-"&amp;TEXT(TODAY(),"YY")&amp;"-"&amp;TEXT(A60,"000"),"")))</f>
        <v/>
      </c>
      <c r="C60" s="26"/>
      <c r="D60" s="26"/>
      <c r="E60" s="26"/>
      <c r="F60" s="26"/>
      <c r="G60" s="26"/>
      <c r="H60" s="26"/>
      <c r="I60" s="26"/>
      <c r="J60" s="27" t="str">
        <f aca="false">IF(F60="","",IF(I60="","",F60*I60))</f>
        <v/>
      </c>
      <c r="K60" s="26"/>
      <c r="L60" s="26"/>
      <c r="M60" s="27" t="str">
        <f aca="false">IF(OR(J60="",L60="",K60=""),"",IFERROR((J60-K60-IF(O60="Adjust in Plan",N60,0))/L60,"-"))</f>
        <v/>
      </c>
      <c r="N60" s="28"/>
      <c r="O60" s="28"/>
      <c r="P60" s="27" t="n">
        <f aca="false">IFERROR(SUMIF(INSTALMENTS!$C:$C,B60,INSTALMENTS!$I:$I),0)</f>
        <v>0</v>
      </c>
      <c r="Q60" s="27" t="str">
        <f aca="false">IF(J60="","",J60-P60)</f>
        <v/>
      </c>
      <c r="R60" s="25" t="str">
        <f aca="true">IF(J60="","",IF(Q60&lt;=0,"✅ Completed",IF(IFERROR(SUMPRODUCT((INSTALMENTS!$C:$C=B60)*(INSTALMENTS!$F:$F&lt;TODAY())*(INSTALMENTS!$I:$I&lt;INSTALMENTS!$H:$H)),0)&gt;0,"🔴 Overdue","🟢 Active")))</f>
        <v/>
      </c>
      <c r="S60" s="26"/>
      <c r="T60" s="26"/>
      <c r="U60" s="26"/>
      <c r="V60" s="26"/>
      <c r="W60" s="26"/>
      <c r="X60" s="29"/>
      <c r="Y60" s="29"/>
      <c r="Z60" s="29"/>
      <c r="AA60" s="29"/>
      <c r="AB60" s="29"/>
      <c r="AC60" s="29"/>
      <c r="AD60" s="30"/>
      <c r="AE60" s="30"/>
      <c r="AF60" s="30"/>
      <c r="AG60" s="30"/>
      <c r="AH60" s="31"/>
      <c r="AI60" s="31"/>
      <c r="AJ60" s="31"/>
      <c r="AK60" s="31"/>
      <c r="AL60" s="31"/>
      <c r="AM60" s="31"/>
      <c r="AN60" s="26"/>
      <c r="AO60" s="26"/>
      <c r="AP60" s="26"/>
      <c r="AQ60" s="26"/>
      <c r="AR60" s="26"/>
      <c r="AS60" s="26"/>
      <c r="AT60" s="26"/>
      <c r="AU60" s="26"/>
      <c r="AV60" s="32"/>
    </row>
    <row r="61" customFormat="false" ht="15" hidden="false" customHeight="false" outlineLevel="0" collapsed="false">
      <c r="A61" s="24" t="n">
        <v>58</v>
      </c>
      <c r="B61" s="25" t="str">
        <f aca="true">IF(C61="","",IF(E61="","",IFERROR("BTM-"&amp;LEFT(C61,3)&amp;"-"&amp;E61&amp;"-"&amp;TEXT(TODAY(),"YY")&amp;"-"&amp;TEXT(A61,"000"),"")))</f>
        <v/>
      </c>
      <c r="C61" s="26"/>
      <c r="D61" s="26"/>
      <c r="E61" s="26"/>
      <c r="F61" s="26"/>
      <c r="G61" s="26"/>
      <c r="H61" s="26"/>
      <c r="I61" s="26"/>
      <c r="J61" s="27" t="str">
        <f aca="false">IF(F61="","",IF(I61="","",F61*I61))</f>
        <v/>
      </c>
      <c r="K61" s="26"/>
      <c r="L61" s="26"/>
      <c r="M61" s="27" t="str">
        <f aca="false">IF(OR(J61="",L61="",K61=""),"",IFERROR((J61-K61-IF(O61="Adjust in Plan",N61,0))/L61,"-"))</f>
        <v/>
      </c>
      <c r="N61" s="28"/>
      <c r="O61" s="28"/>
      <c r="P61" s="27" t="n">
        <f aca="false">IFERROR(SUMIF(INSTALMENTS!$C:$C,B61,INSTALMENTS!$I:$I),0)</f>
        <v>0</v>
      </c>
      <c r="Q61" s="27" t="str">
        <f aca="false">IF(J61="","",J61-P61)</f>
        <v/>
      </c>
      <c r="R61" s="25" t="str">
        <f aca="true">IF(J61="","",IF(Q61&lt;=0,"✅ Completed",IF(IFERROR(SUMPRODUCT((INSTALMENTS!$C:$C=B61)*(INSTALMENTS!$F:$F&lt;TODAY())*(INSTALMENTS!$I:$I&lt;INSTALMENTS!$H:$H)),0)&gt;0,"🔴 Overdue","🟢 Active")))</f>
        <v/>
      </c>
      <c r="S61" s="26"/>
      <c r="T61" s="26"/>
      <c r="U61" s="26"/>
      <c r="V61" s="26"/>
      <c r="W61" s="26"/>
      <c r="X61" s="29"/>
      <c r="Y61" s="29"/>
      <c r="Z61" s="29"/>
      <c r="AA61" s="29"/>
      <c r="AB61" s="29"/>
      <c r="AC61" s="29"/>
      <c r="AD61" s="30"/>
      <c r="AE61" s="30"/>
      <c r="AF61" s="30"/>
      <c r="AG61" s="30"/>
      <c r="AH61" s="31"/>
      <c r="AI61" s="31"/>
      <c r="AJ61" s="31"/>
      <c r="AK61" s="31"/>
      <c r="AL61" s="31"/>
      <c r="AM61" s="31"/>
      <c r="AN61" s="26"/>
      <c r="AO61" s="26"/>
      <c r="AP61" s="26"/>
      <c r="AQ61" s="26"/>
      <c r="AR61" s="26"/>
      <c r="AS61" s="26"/>
      <c r="AT61" s="26"/>
      <c r="AU61" s="26"/>
      <c r="AV61" s="32"/>
    </row>
    <row r="62" customFormat="false" ht="15" hidden="false" customHeight="false" outlineLevel="0" collapsed="false">
      <c r="A62" s="24" t="n">
        <v>59</v>
      </c>
      <c r="B62" s="25" t="str">
        <f aca="true">IF(C62="","",IF(E62="","",IFERROR("BTM-"&amp;LEFT(C62,3)&amp;"-"&amp;E62&amp;"-"&amp;TEXT(TODAY(),"YY")&amp;"-"&amp;TEXT(A62,"000"),"")))</f>
        <v/>
      </c>
      <c r="C62" s="26"/>
      <c r="D62" s="26"/>
      <c r="E62" s="26"/>
      <c r="F62" s="26"/>
      <c r="G62" s="26"/>
      <c r="H62" s="26"/>
      <c r="I62" s="26"/>
      <c r="J62" s="27" t="str">
        <f aca="false">IF(F62="","",IF(I62="","",F62*I62))</f>
        <v/>
      </c>
      <c r="K62" s="26"/>
      <c r="L62" s="26"/>
      <c r="M62" s="27" t="str">
        <f aca="false">IF(OR(J62="",L62="",K62=""),"",IFERROR((J62-K62-IF(O62="Adjust in Plan",N62,0))/L62,"-"))</f>
        <v/>
      </c>
      <c r="N62" s="28"/>
      <c r="O62" s="28"/>
      <c r="P62" s="27" t="n">
        <f aca="false">IFERROR(SUMIF(INSTALMENTS!$C:$C,B62,INSTALMENTS!$I:$I),0)</f>
        <v>0</v>
      </c>
      <c r="Q62" s="27" t="str">
        <f aca="false">IF(J62="","",J62-P62)</f>
        <v/>
      </c>
      <c r="R62" s="25" t="str">
        <f aca="true">IF(J62="","",IF(Q62&lt;=0,"✅ Completed",IF(IFERROR(SUMPRODUCT((INSTALMENTS!$C:$C=B62)*(INSTALMENTS!$F:$F&lt;TODAY())*(INSTALMENTS!$I:$I&lt;INSTALMENTS!$H:$H)),0)&gt;0,"🔴 Overdue","🟢 Active")))</f>
        <v/>
      </c>
      <c r="S62" s="26"/>
      <c r="T62" s="26"/>
      <c r="U62" s="26"/>
      <c r="V62" s="26"/>
      <c r="W62" s="26"/>
      <c r="X62" s="29"/>
      <c r="Y62" s="29"/>
      <c r="Z62" s="29"/>
      <c r="AA62" s="29"/>
      <c r="AB62" s="29"/>
      <c r="AC62" s="29"/>
      <c r="AD62" s="30"/>
      <c r="AE62" s="30"/>
      <c r="AF62" s="30"/>
      <c r="AG62" s="30"/>
      <c r="AH62" s="31"/>
      <c r="AI62" s="31"/>
      <c r="AJ62" s="31"/>
      <c r="AK62" s="31"/>
      <c r="AL62" s="31"/>
      <c r="AM62" s="31"/>
      <c r="AN62" s="26"/>
      <c r="AO62" s="26"/>
      <c r="AP62" s="26"/>
      <c r="AQ62" s="26"/>
      <c r="AR62" s="26"/>
      <c r="AS62" s="26"/>
      <c r="AT62" s="26"/>
      <c r="AU62" s="26"/>
      <c r="AV62" s="32"/>
    </row>
    <row r="63" customFormat="false" ht="15" hidden="false" customHeight="false" outlineLevel="0" collapsed="false">
      <c r="A63" s="24" t="n">
        <v>60</v>
      </c>
      <c r="B63" s="25" t="str">
        <f aca="true">IF(C63="","",IF(E63="","",IFERROR("BTM-"&amp;LEFT(C63,3)&amp;"-"&amp;E63&amp;"-"&amp;TEXT(TODAY(),"YY")&amp;"-"&amp;TEXT(A63,"000"),"")))</f>
        <v/>
      </c>
      <c r="C63" s="26"/>
      <c r="D63" s="26"/>
      <c r="E63" s="26"/>
      <c r="F63" s="26"/>
      <c r="G63" s="26"/>
      <c r="H63" s="26"/>
      <c r="I63" s="26"/>
      <c r="J63" s="27" t="str">
        <f aca="false">IF(F63="","",IF(I63="","",F63*I63))</f>
        <v/>
      </c>
      <c r="K63" s="26"/>
      <c r="L63" s="26"/>
      <c r="M63" s="27" t="str">
        <f aca="false">IF(OR(J63="",L63="",K63=""),"",IFERROR((J63-K63-IF(O63="Adjust in Plan",N63,0))/L63,"-"))</f>
        <v/>
      </c>
      <c r="N63" s="28"/>
      <c r="O63" s="28"/>
      <c r="P63" s="27" t="n">
        <f aca="false">IFERROR(SUMIF(INSTALMENTS!$C:$C,B63,INSTALMENTS!$I:$I),0)</f>
        <v>0</v>
      </c>
      <c r="Q63" s="27" t="str">
        <f aca="false">IF(J63="","",J63-P63)</f>
        <v/>
      </c>
      <c r="R63" s="25" t="str">
        <f aca="true">IF(J63="","",IF(Q63&lt;=0,"✅ Completed",IF(IFERROR(SUMPRODUCT((INSTALMENTS!$C:$C=B63)*(INSTALMENTS!$F:$F&lt;TODAY())*(INSTALMENTS!$I:$I&lt;INSTALMENTS!$H:$H)),0)&gt;0,"🔴 Overdue","🟢 Active")))</f>
        <v/>
      </c>
      <c r="S63" s="26"/>
      <c r="T63" s="26"/>
      <c r="U63" s="26"/>
      <c r="V63" s="26"/>
      <c r="W63" s="26"/>
      <c r="X63" s="29"/>
      <c r="Y63" s="29"/>
      <c r="Z63" s="29"/>
      <c r="AA63" s="29"/>
      <c r="AB63" s="29"/>
      <c r="AC63" s="29"/>
      <c r="AD63" s="30"/>
      <c r="AE63" s="30"/>
      <c r="AF63" s="30"/>
      <c r="AG63" s="30"/>
      <c r="AH63" s="31"/>
      <c r="AI63" s="31"/>
      <c r="AJ63" s="31"/>
      <c r="AK63" s="31"/>
      <c r="AL63" s="31"/>
      <c r="AM63" s="31"/>
      <c r="AN63" s="26"/>
      <c r="AO63" s="26"/>
      <c r="AP63" s="26"/>
      <c r="AQ63" s="26"/>
      <c r="AR63" s="26"/>
      <c r="AS63" s="26"/>
      <c r="AT63" s="26"/>
      <c r="AU63" s="26"/>
      <c r="AV63" s="32"/>
    </row>
    <row r="64" customFormat="false" ht="15" hidden="false" customHeight="false" outlineLevel="0" collapsed="false">
      <c r="A64" s="24" t="n">
        <v>61</v>
      </c>
      <c r="B64" s="25" t="str">
        <f aca="true">IF(C64="","",IF(E64="","",IFERROR("BTM-"&amp;LEFT(C64,3)&amp;"-"&amp;E64&amp;"-"&amp;TEXT(TODAY(),"YY")&amp;"-"&amp;TEXT(A64,"000"),"")))</f>
        <v/>
      </c>
      <c r="C64" s="26"/>
      <c r="D64" s="26"/>
      <c r="E64" s="26"/>
      <c r="F64" s="26"/>
      <c r="G64" s="26"/>
      <c r="H64" s="26"/>
      <c r="I64" s="26"/>
      <c r="J64" s="27" t="str">
        <f aca="false">IF(F64="","",IF(I64="","",F64*I64))</f>
        <v/>
      </c>
      <c r="K64" s="26"/>
      <c r="L64" s="26"/>
      <c r="M64" s="27" t="str">
        <f aca="false">IF(OR(J64="",L64="",K64=""),"",IFERROR((J64-K64-IF(O64="Adjust in Plan",N64,0))/L64,"-"))</f>
        <v/>
      </c>
      <c r="N64" s="28"/>
      <c r="O64" s="28"/>
      <c r="P64" s="27" t="n">
        <f aca="false">IFERROR(SUMIF(INSTALMENTS!$C:$C,B64,INSTALMENTS!$I:$I),0)</f>
        <v>0</v>
      </c>
      <c r="Q64" s="27" t="str">
        <f aca="false">IF(J64="","",J64-P64)</f>
        <v/>
      </c>
      <c r="R64" s="25" t="str">
        <f aca="true">IF(J64="","",IF(Q64&lt;=0,"✅ Completed",IF(IFERROR(SUMPRODUCT((INSTALMENTS!$C:$C=B64)*(INSTALMENTS!$F:$F&lt;TODAY())*(INSTALMENTS!$I:$I&lt;INSTALMENTS!$H:$H)),0)&gt;0,"🔴 Overdue","🟢 Active")))</f>
        <v/>
      </c>
      <c r="S64" s="26"/>
      <c r="T64" s="26"/>
      <c r="U64" s="26"/>
      <c r="V64" s="26"/>
      <c r="W64" s="26"/>
      <c r="X64" s="29"/>
      <c r="Y64" s="29"/>
      <c r="Z64" s="29"/>
      <c r="AA64" s="29"/>
      <c r="AB64" s="29"/>
      <c r="AC64" s="29"/>
      <c r="AD64" s="30"/>
      <c r="AE64" s="30"/>
      <c r="AF64" s="30"/>
      <c r="AG64" s="30"/>
      <c r="AH64" s="31"/>
      <c r="AI64" s="31"/>
      <c r="AJ64" s="31"/>
      <c r="AK64" s="31"/>
      <c r="AL64" s="31"/>
      <c r="AM64" s="31"/>
      <c r="AN64" s="26"/>
      <c r="AO64" s="26"/>
      <c r="AP64" s="26"/>
      <c r="AQ64" s="26"/>
      <c r="AR64" s="26"/>
      <c r="AS64" s="26"/>
      <c r="AT64" s="26"/>
      <c r="AU64" s="26"/>
      <c r="AV64" s="32"/>
    </row>
    <row r="65" customFormat="false" ht="15" hidden="false" customHeight="false" outlineLevel="0" collapsed="false">
      <c r="A65" s="24" t="n">
        <v>62</v>
      </c>
      <c r="B65" s="25" t="str">
        <f aca="true">IF(C65="","",IF(E65="","",IFERROR("BTM-"&amp;LEFT(C65,3)&amp;"-"&amp;E65&amp;"-"&amp;TEXT(TODAY(),"YY")&amp;"-"&amp;TEXT(A65,"000"),"")))</f>
        <v/>
      </c>
      <c r="C65" s="26"/>
      <c r="D65" s="26"/>
      <c r="E65" s="26"/>
      <c r="F65" s="26"/>
      <c r="G65" s="26"/>
      <c r="H65" s="26"/>
      <c r="I65" s="26"/>
      <c r="J65" s="27" t="str">
        <f aca="false">IF(F65="","",IF(I65="","",F65*I65))</f>
        <v/>
      </c>
      <c r="K65" s="26"/>
      <c r="L65" s="26"/>
      <c r="M65" s="27" t="str">
        <f aca="false">IF(OR(J65="",L65="",K65=""),"",IFERROR((J65-K65-IF(O65="Adjust in Plan",N65,0))/L65,"-"))</f>
        <v/>
      </c>
      <c r="N65" s="28"/>
      <c r="O65" s="28"/>
      <c r="P65" s="27" t="n">
        <f aca="false">IFERROR(SUMIF(INSTALMENTS!$C:$C,B65,INSTALMENTS!$I:$I),0)</f>
        <v>0</v>
      </c>
      <c r="Q65" s="27" t="str">
        <f aca="false">IF(J65="","",J65-P65)</f>
        <v/>
      </c>
      <c r="R65" s="25" t="str">
        <f aca="true">IF(J65="","",IF(Q65&lt;=0,"✅ Completed",IF(IFERROR(SUMPRODUCT((INSTALMENTS!$C:$C=B65)*(INSTALMENTS!$F:$F&lt;TODAY())*(INSTALMENTS!$I:$I&lt;INSTALMENTS!$H:$H)),0)&gt;0,"🔴 Overdue","🟢 Active")))</f>
        <v/>
      </c>
      <c r="S65" s="26"/>
      <c r="T65" s="26"/>
      <c r="U65" s="26"/>
      <c r="V65" s="26"/>
      <c r="W65" s="26"/>
      <c r="X65" s="29"/>
      <c r="Y65" s="29"/>
      <c r="Z65" s="29"/>
      <c r="AA65" s="29"/>
      <c r="AB65" s="29"/>
      <c r="AC65" s="29"/>
      <c r="AD65" s="30"/>
      <c r="AE65" s="30"/>
      <c r="AF65" s="30"/>
      <c r="AG65" s="30"/>
      <c r="AH65" s="31"/>
      <c r="AI65" s="31"/>
      <c r="AJ65" s="31"/>
      <c r="AK65" s="31"/>
      <c r="AL65" s="31"/>
      <c r="AM65" s="31"/>
      <c r="AN65" s="26"/>
      <c r="AO65" s="26"/>
      <c r="AP65" s="26"/>
      <c r="AQ65" s="26"/>
      <c r="AR65" s="26"/>
      <c r="AS65" s="26"/>
      <c r="AT65" s="26"/>
      <c r="AU65" s="26"/>
      <c r="AV65" s="32"/>
    </row>
    <row r="66" customFormat="false" ht="15" hidden="false" customHeight="false" outlineLevel="0" collapsed="false">
      <c r="A66" s="24" t="n">
        <v>63</v>
      </c>
      <c r="B66" s="25" t="str">
        <f aca="true">IF(C66="","",IF(E66="","",IFERROR("BTM-"&amp;LEFT(C66,3)&amp;"-"&amp;E66&amp;"-"&amp;TEXT(TODAY(),"YY")&amp;"-"&amp;TEXT(A66,"000"),"")))</f>
        <v/>
      </c>
      <c r="C66" s="26"/>
      <c r="D66" s="26"/>
      <c r="E66" s="26"/>
      <c r="F66" s="26"/>
      <c r="G66" s="26"/>
      <c r="H66" s="26"/>
      <c r="I66" s="26"/>
      <c r="J66" s="27" t="str">
        <f aca="false">IF(F66="","",IF(I66="","",F66*I66))</f>
        <v/>
      </c>
      <c r="K66" s="26"/>
      <c r="L66" s="26"/>
      <c r="M66" s="27" t="str">
        <f aca="false">IF(OR(J66="",L66="",K66=""),"",IFERROR((J66-K66-IF(O66="Adjust in Plan",N66,0))/L66,"-"))</f>
        <v/>
      </c>
      <c r="N66" s="28"/>
      <c r="O66" s="28"/>
      <c r="P66" s="27" t="n">
        <f aca="false">IFERROR(SUMIF(INSTALMENTS!$C:$C,B66,INSTALMENTS!$I:$I),0)</f>
        <v>0</v>
      </c>
      <c r="Q66" s="27" t="str">
        <f aca="false">IF(J66="","",J66-P66)</f>
        <v/>
      </c>
      <c r="R66" s="25" t="str">
        <f aca="true">IF(J66="","",IF(Q66&lt;=0,"✅ Completed",IF(IFERROR(SUMPRODUCT((INSTALMENTS!$C:$C=B66)*(INSTALMENTS!$F:$F&lt;TODAY())*(INSTALMENTS!$I:$I&lt;INSTALMENTS!$H:$H)),0)&gt;0,"🔴 Overdue","🟢 Active")))</f>
        <v/>
      </c>
      <c r="S66" s="26"/>
      <c r="T66" s="26"/>
      <c r="U66" s="26"/>
      <c r="V66" s="26"/>
      <c r="W66" s="26"/>
      <c r="X66" s="29"/>
      <c r="Y66" s="29"/>
      <c r="Z66" s="29"/>
      <c r="AA66" s="29"/>
      <c r="AB66" s="29"/>
      <c r="AC66" s="29"/>
      <c r="AD66" s="30"/>
      <c r="AE66" s="30"/>
      <c r="AF66" s="30"/>
      <c r="AG66" s="30"/>
      <c r="AH66" s="31"/>
      <c r="AI66" s="31"/>
      <c r="AJ66" s="31"/>
      <c r="AK66" s="31"/>
      <c r="AL66" s="31"/>
      <c r="AM66" s="31"/>
      <c r="AN66" s="26"/>
      <c r="AO66" s="26"/>
      <c r="AP66" s="26"/>
      <c r="AQ66" s="26"/>
      <c r="AR66" s="26"/>
      <c r="AS66" s="26"/>
      <c r="AT66" s="26"/>
      <c r="AU66" s="26"/>
      <c r="AV66" s="32"/>
    </row>
    <row r="67" customFormat="false" ht="15" hidden="false" customHeight="false" outlineLevel="0" collapsed="false">
      <c r="A67" s="24" t="n">
        <v>64</v>
      </c>
      <c r="B67" s="25" t="str">
        <f aca="true">IF(C67="","",IF(E67="","",IFERROR("BTM-"&amp;LEFT(C67,3)&amp;"-"&amp;E67&amp;"-"&amp;TEXT(TODAY(),"YY")&amp;"-"&amp;TEXT(A67,"000"),"")))</f>
        <v/>
      </c>
      <c r="C67" s="26"/>
      <c r="D67" s="26"/>
      <c r="E67" s="26"/>
      <c r="F67" s="26"/>
      <c r="G67" s="26"/>
      <c r="H67" s="26"/>
      <c r="I67" s="26"/>
      <c r="J67" s="27" t="str">
        <f aca="false">IF(F67="","",IF(I67="","",F67*I67))</f>
        <v/>
      </c>
      <c r="K67" s="26"/>
      <c r="L67" s="26"/>
      <c r="M67" s="27" t="str">
        <f aca="false">IF(OR(J67="",L67="",K67=""),"",IFERROR((J67-K67-IF(O67="Adjust in Plan",N67,0))/L67,"-"))</f>
        <v/>
      </c>
      <c r="N67" s="28"/>
      <c r="O67" s="28"/>
      <c r="P67" s="27" t="n">
        <f aca="false">IFERROR(SUMIF(INSTALMENTS!$C:$C,B67,INSTALMENTS!$I:$I),0)</f>
        <v>0</v>
      </c>
      <c r="Q67" s="27" t="str">
        <f aca="false">IF(J67="","",J67-P67)</f>
        <v/>
      </c>
      <c r="R67" s="25" t="str">
        <f aca="true">IF(J67="","",IF(Q67&lt;=0,"✅ Completed",IF(IFERROR(SUMPRODUCT((INSTALMENTS!$C:$C=B67)*(INSTALMENTS!$F:$F&lt;TODAY())*(INSTALMENTS!$I:$I&lt;INSTALMENTS!$H:$H)),0)&gt;0,"🔴 Overdue","🟢 Active")))</f>
        <v/>
      </c>
      <c r="S67" s="26"/>
      <c r="T67" s="26"/>
      <c r="U67" s="26"/>
      <c r="V67" s="26"/>
      <c r="W67" s="26"/>
      <c r="X67" s="29"/>
      <c r="Y67" s="29"/>
      <c r="Z67" s="29"/>
      <c r="AA67" s="29"/>
      <c r="AB67" s="29"/>
      <c r="AC67" s="29"/>
      <c r="AD67" s="30"/>
      <c r="AE67" s="30"/>
      <c r="AF67" s="30"/>
      <c r="AG67" s="30"/>
      <c r="AH67" s="31"/>
      <c r="AI67" s="31"/>
      <c r="AJ67" s="31"/>
      <c r="AK67" s="31"/>
      <c r="AL67" s="31"/>
      <c r="AM67" s="31"/>
      <c r="AN67" s="26"/>
      <c r="AO67" s="26"/>
      <c r="AP67" s="26"/>
      <c r="AQ67" s="26"/>
      <c r="AR67" s="26"/>
      <c r="AS67" s="26"/>
      <c r="AT67" s="26"/>
      <c r="AU67" s="26"/>
      <c r="AV67" s="32"/>
    </row>
    <row r="68" customFormat="false" ht="15" hidden="false" customHeight="false" outlineLevel="0" collapsed="false">
      <c r="A68" s="24" t="n">
        <v>65</v>
      </c>
      <c r="B68" s="25" t="str">
        <f aca="true">IF(C68="","",IF(E68="","",IFERROR("BTM-"&amp;LEFT(C68,3)&amp;"-"&amp;E68&amp;"-"&amp;TEXT(TODAY(),"YY")&amp;"-"&amp;TEXT(A68,"000"),"")))</f>
        <v/>
      </c>
      <c r="C68" s="26"/>
      <c r="D68" s="26"/>
      <c r="E68" s="26"/>
      <c r="F68" s="26"/>
      <c r="G68" s="26"/>
      <c r="H68" s="26"/>
      <c r="I68" s="26"/>
      <c r="J68" s="27" t="str">
        <f aca="false">IF(F68="","",IF(I68="","",F68*I68))</f>
        <v/>
      </c>
      <c r="K68" s="26"/>
      <c r="L68" s="26"/>
      <c r="M68" s="27" t="str">
        <f aca="false">IF(OR(J68="",L68="",K68=""),"",IFERROR((J68-K68-IF(O68="Adjust in Plan",N68,0))/L68,"-"))</f>
        <v/>
      </c>
      <c r="N68" s="28"/>
      <c r="O68" s="28"/>
      <c r="P68" s="27" t="n">
        <f aca="false">IFERROR(SUMIF(INSTALMENTS!$C:$C,B68,INSTALMENTS!$I:$I),0)</f>
        <v>0</v>
      </c>
      <c r="Q68" s="27" t="str">
        <f aca="false">IF(J68="","",J68-P68)</f>
        <v/>
      </c>
      <c r="R68" s="25" t="str">
        <f aca="true">IF(J68="","",IF(Q68&lt;=0,"✅ Completed",IF(IFERROR(SUMPRODUCT((INSTALMENTS!$C:$C=B68)*(INSTALMENTS!$F:$F&lt;TODAY())*(INSTALMENTS!$I:$I&lt;INSTALMENTS!$H:$H)),0)&gt;0,"🔴 Overdue","🟢 Active")))</f>
        <v/>
      </c>
      <c r="S68" s="26"/>
      <c r="T68" s="26"/>
      <c r="U68" s="26"/>
      <c r="V68" s="26"/>
      <c r="W68" s="26"/>
      <c r="X68" s="29"/>
      <c r="Y68" s="29"/>
      <c r="Z68" s="29"/>
      <c r="AA68" s="29"/>
      <c r="AB68" s="29"/>
      <c r="AC68" s="29"/>
      <c r="AD68" s="30"/>
      <c r="AE68" s="30"/>
      <c r="AF68" s="30"/>
      <c r="AG68" s="30"/>
      <c r="AH68" s="31"/>
      <c r="AI68" s="31"/>
      <c r="AJ68" s="31"/>
      <c r="AK68" s="31"/>
      <c r="AL68" s="31"/>
      <c r="AM68" s="31"/>
      <c r="AN68" s="26"/>
      <c r="AO68" s="26"/>
      <c r="AP68" s="26"/>
      <c r="AQ68" s="26"/>
      <c r="AR68" s="26"/>
      <c r="AS68" s="26"/>
      <c r="AT68" s="26"/>
      <c r="AU68" s="26"/>
      <c r="AV68" s="32"/>
    </row>
    <row r="69" customFormat="false" ht="15" hidden="false" customHeight="false" outlineLevel="0" collapsed="false">
      <c r="A69" s="24" t="n">
        <v>66</v>
      </c>
      <c r="B69" s="25" t="str">
        <f aca="true">IF(C69="","",IF(E69="","",IFERROR("BTM-"&amp;LEFT(C69,3)&amp;"-"&amp;E69&amp;"-"&amp;TEXT(TODAY(),"YY")&amp;"-"&amp;TEXT(A69,"000"),"")))</f>
        <v/>
      </c>
      <c r="C69" s="26"/>
      <c r="D69" s="26"/>
      <c r="E69" s="26"/>
      <c r="F69" s="26"/>
      <c r="G69" s="26"/>
      <c r="H69" s="26"/>
      <c r="I69" s="26"/>
      <c r="J69" s="27" t="str">
        <f aca="false">IF(F69="","",IF(I69="","",F69*I69))</f>
        <v/>
      </c>
      <c r="K69" s="26"/>
      <c r="L69" s="26"/>
      <c r="M69" s="27" t="str">
        <f aca="false">IF(OR(J69="",L69="",K69=""),"",IFERROR((J69-K69-IF(O69="Adjust in Plan",N69,0))/L69,"-"))</f>
        <v/>
      </c>
      <c r="N69" s="28"/>
      <c r="O69" s="28"/>
      <c r="P69" s="27" t="n">
        <f aca="false">IFERROR(SUMIF(INSTALMENTS!$C:$C,B69,INSTALMENTS!$I:$I),0)</f>
        <v>0</v>
      </c>
      <c r="Q69" s="27" t="str">
        <f aca="false">IF(J69="","",J69-P69)</f>
        <v/>
      </c>
      <c r="R69" s="25" t="str">
        <f aca="true">IF(J69="","",IF(Q69&lt;=0,"✅ Completed",IF(IFERROR(SUMPRODUCT((INSTALMENTS!$C:$C=B69)*(INSTALMENTS!$F:$F&lt;TODAY())*(INSTALMENTS!$I:$I&lt;INSTALMENTS!$H:$H)),0)&gt;0,"🔴 Overdue","🟢 Active")))</f>
        <v/>
      </c>
      <c r="S69" s="26"/>
      <c r="T69" s="26"/>
      <c r="U69" s="26"/>
      <c r="V69" s="26"/>
      <c r="W69" s="26"/>
      <c r="X69" s="29"/>
      <c r="Y69" s="29"/>
      <c r="Z69" s="29"/>
      <c r="AA69" s="29"/>
      <c r="AB69" s="29"/>
      <c r="AC69" s="29"/>
      <c r="AD69" s="30"/>
      <c r="AE69" s="30"/>
      <c r="AF69" s="30"/>
      <c r="AG69" s="30"/>
      <c r="AH69" s="31"/>
      <c r="AI69" s="31"/>
      <c r="AJ69" s="31"/>
      <c r="AK69" s="31"/>
      <c r="AL69" s="31"/>
      <c r="AM69" s="31"/>
      <c r="AN69" s="26"/>
      <c r="AO69" s="26"/>
      <c r="AP69" s="26"/>
      <c r="AQ69" s="26"/>
      <c r="AR69" s="26"/>
      <c r="AS69" s="26"/>
      <c r="AT69" s="26"/>
      <c r="AU69" s="26"/>
      <c r="AV69" s="32"/>
    </row>
    <row r="70" customFormat="false" ht="15" hidden="false" customHeight="false" outlineLevel="0" collapsed="false">
      <c r="A70" s="24" t="n">
        <v>67</v>
      </c>
      <c r="B70" s="25" t="str">
        <f aca="true">IF(C70="","",IF(E70="","",IFERROR("BTM-"&amp;LEFT(C70,3)&amp;"-"&amp;E70&amp;"-"&amp;TEXT(TODAY(),"YY")&amp;"-"&amp;TEXT(A70,"000"),"")))</f>
        <v/>
      </c>
      <c r="C70" s="26"/>
      <c r="D70" s="26"/>
      <c r="E70" s="26"/>
      <c r="F70" s="26"/>
      <c r="G70" s="26"/>
      <c r="H70" s="26"/>
      <c r="I70" s="26"/>
      <c r="J70" s="27" t="str">
        <f aca="false">IF(F70="","",IF(I70="","",F70*I70))</f>
        <v/>
      </c>
      <c r="K70" s="26"/>
      <c r="L70" s="26"/>
      <c r="M70" s="27" t="str">
        <f aca="false">IF(OR(J70="",L70="",K70=""),"",IFERROR((J70-K70-IF(O70="Adjust in Plan",N70,0))/L70,"-"))</f>
        <v/>
      </c>
      <c r="N70" s="28"/>
      <c r="O70" s="28"/>
      <c r="P70" s="27" t="n">
        <f aca="false">IFERROR(SUMIF(INSTALMENTS!$C:$C,B70,INSTALMENTS!$I:$I),0)</f>
        <v>0</v>
      </c>
      <c r="Q70" s="27" t="str">
        <f aca="false">IF(J70="","",J70-P70)</f>
        <v/>
      </c>
      <c r="R70" s="25" t="str">
        <f aca="true">IF(J70="","",IF(Q70&lt;=0,"✅ Completed",IF(IFERROR(SUMPRODUCT((INSTALMENTS!$C:$C=B70)*(INSTALMENTS!$F:$F&lt;TODAY())*(INSTALMENTS!$I:$I&lt;INSTALMENTS!$H:$H)),0)&gt;0,"🔴 Overdue","🟢 Active")))</f>
        <v/>
      </c>
      <c r="S70" s="26"/>
      <c r="T70" s="26"/>
      <c r="U70" s="26"/>
      <c r="V70" s="26"/>
      <c r="W70" s="26"/>
      <c r="X70" s="29"/>
      <c r="Y70" s="29"/>
      <c r="Z70" s="29"/>
      <c r="AA70" s="29"/>
      <c r="AB70" s="29"/>
      <c r="AC70" s="29"/>
      <c r="AD70" s="30"/>
      <c r="AE70" s="30"/>
      <c r="AF70" s="30"/>
      <c r="AG70" s="30"/>
      <c r="AH70" s="31"/>
      <c r="AI70" s="31"/>
      <c r="AJ70" s="31"/>
      <c r="AK70" s="31"/>
      <c r="AL70" s="31"/>
      <c r="AM70" s="31"/>
      <c r="AN70" s="26"/>
      <c r="AO70" s="26"/>
      <c r="AP70" s="26"/>
      <c r="AQ70" s="26"/>
      <c r="AR70" s="26"/>
      <c r="AS70" s="26"/>
      <c r="AT70" s="26"/>
      <c r="AU70" s="26"/>
      <c r="AV70" s="32"/>
    </row>
    <row r="71" customFormat="false" ht="15" hidden="false" customHeight="false" outlineLevel="0" collapsed="false">
      <c r="A71" s="24" t="n">
        <v>68</v>
      </c>
      <c r="B71" s="25" t="str">
        <f aca="true">IF(C71="","",IF(E71="","",IFERROR("BTM-"&amp;LEFT(C71,3)&amp;"-"&amp;E71&amp;"-"&amp;TEXT(TODAY(),"YY")&amp;"-"&amp;TEXT(A71,"000"),"")))</f>
        <v/>
      </c>
      <c r="C71" s="26"/>
      <c r="D71" s="26"/>
      <c r="E71" s="26"/>
      <c r="F71" s="26"/>
      <c r="G71" s="26"/>
      <c r="H71" s="26"/>
      <c r="I71" s="26"/>
      <c r="J71" s="27" t="str">
        <f aca="false">IF(F71="","",IF(I71="","",F71*I71))</f>
        <v/>
      </c>
      <c r="K71" s="26"/>
      <c r="L71" s="26"/>
      <c r="M71" s="27" t="str">
        <f aca="false">IF(OR(J71="",L71="",K71=""),"",IFERROR((J71-K71-IF(O71="Adjust in Plan",N71,0))/L71,"-"))</f>
        <v/>
      </c>
      <c r="N71" s="28"/>
      <c r="O71" s="28"/>
      <c r="P71" s="27" t="n">
        <f aca="false">IFERROR(SUMIF(INSTALMENTS!$C:$C,B71,INSTALMENTS!$I:$I),0)</f>
        <v>0</v>
      </c>
      <c r="Q71" s="27" t="str">
        <f aca="false">IF(J71="","",J71-P71)</f>
        <v/>
      </c>
      <c r="R71" s="25" t="str">
        <f aca="true">IF(J71="","",IF(Q71&lt;=0,"✅ Completed",IF(IFERROR(SUMPRODUCT((INSTALMENTS!$C:$C=B71)*(INSTALMENTS!$F:$F&lt;TODAY())*(INSTALMENTS!$I:$I&lt;INSTALMENTS!$H:$H)),0)&gt;0,"🔴 Overdue","🟢 Active")))</f>
        <v/>
      </c>
      <c r="S71" s="26"/>
      <c r="T71" s="26"/>
      <c r="U71" s="26"/>
      <c r="V71" s="26"/>
      <c r="W71" s="26"/>
      <c r="X71" s="29"/>
      <c r="Y71" s="29"/>
      <c r="Z71" s="29"/>
      <c r="AA71" s="29"/>
      <c r="AB71" s="29"/>
      <c r="AC71" s="29"/>
      <c r="AD71" s="30"/>
      <c r="AE71" s="30"/>
      <c r="AF71" s="30"/>
      <c r="AG71" s="30"/>
      <c r="AH71" s="31"/>
      <c r="AI71" s="31"/>
      <c r="AJ71" s="31"/>
      <c r="AK71" s="31"/>
      <c r="AL71" s="31"/>
      <c r="AM71" s="31"/>
      <c r="AN71" s="26"/>
      <c r="AO71" s="26"/>
      <c r="AP71" s="26"/>
      <c r="AQ71" s="26"/>
      <c r="AR71" s="26"/>
      <c r="AS71" s="26"/>
      <c r="AT71" s="26"/>
      <c r="AU71" s="26"/>
      <c r="AV71" s="32"/>
    </row>
    <row r="72" customFormat="false" ht="15" hidden="false" customHeight="false" outlineLevel="0" collapsed="false">
      <c r="A72" s="24" t="n">
        <v>69</v>
      </c>
      <c r="B72" s="25" t="str">
        <f aca="true">IF(C72="","",IF(E72="","",IFERROR("BTM-"&amp;LEFT(C72,3)&amp;"-"&amp;E72&amp;"-"&amp;TEXT(TODAY(),"YY")&amp;"-"&amp;TEXT(A72,"000"),"")))</f>
        <v/>
      </c>
      <c r="C72" s="26"/>
      <c r="D72" s="26"/>
      <c r="E72" s="26"/>
      <c r="F72" s="26"/>
      <c r="G72" s="26"/>
      <c r="H72" s="26"/>
      <c r="I72" s="26"/>
      <c r="J72" s="27" t="str">
        <f aca="false">IF(F72="","",IF(I72="","",F72*I72))</f>
        <v/>
      </c>
      <c r="K72" s="26"/>
      <c r="L72" s="26"/>
      <c r="M72" s="27" t="str">
        <f aca="false">IF(OR(J72="",L72="",K72=""),"",IFERROR((J72-K72-IF(O72="Adjust in Plan",N72,0))/L72,"-"))</f>
        <v/>
      </c>
      <c r="N72" s="28"/>
      <c r="O72" s="28"/>
      <c r="P72" s="27" t="n">
        <f aca="false">IFERROR(SUMIF(INSTALMENTS!$C:$C,B72,INSTALMENTS!$I:$I),0)</f>
        <v>0</v>
      </c>
      <c r="Q72" s="27" t="str">
        <f aca="false">IF(J72="","",J72-P72)</f>
        <v/>
      </c>
      <c r="R72" s="25" t="str">
        <f aca="true">IF(J72="","",IF(Q72&lt;=0,"✅ Completed",IF(IFERROR(SUMPRODUCT((INSTALMENTS!$C:$C=B72)*(INSTALMENTS!$F:$F&lt;TODAY())*(INSTALMENTS!$I:$I&lt;INSTALMENTS!$H:$H)),0)&gt;0,"🔴 Overdue","🟢 Active")))</f>
        <v/>
      </c>
      <c r="S72" s="26"/>
      <c r="T72" s="26"/>
      <c r="U72" s="26"/>
      <c r="V72" s="26"/>
      <c r="W72" s="26"/>
      <c r="X72" s="29"/>
      <c r="Y72" s="29"/>
      <c r="Z72" s="29"/>
      <c r="AA72" s="29"/>
      <c r="AB72" s="29"/>
      <c r="AC72" s="29"/>
      <c r="AD72" s="30"/>
      <c r="AE72" s="30"/>
      <c r="AF72" s="30"/>
      <c r="AG72" s="30"/>
      <c r="AH72" s="31"/>
      <c r="AI72" s="31"/>
      <c r="AJ72" s="31"/>
      <c r="AK72" s="31"/>
      <c r="AL72" s="31"/>
      <c r="AM72" s="31"/>
      <c r="AN72" s="26"/>
      <c r="AO72" s="26"/>
      <c r="AP72" s="26"/>
      <c r="AQ72" s="26"/>
      <c r="AR72" s="26"/>
      <c r="AS72" s="26"/>
      <c r="AT72" s="26"/>
      <c r="AU72" s="26"/>
      <c r="AV72" s="32"/>
    </row>
    <row r="73" customFormat="false" ht="15" hidden="false" customHeight="false" outlineLevel="0" collapsed="false">
      <c r="A73" s="24" t="n">
        <v>70</v>
      </c>
      <c r="B73" s="25" t="str">
        <f aca="true">IF(C73="","",IF(E73="","",IFERROR("BTM-"&amp;LEFT(C73,3)&amp;"-"&amp;E73&amp;"-"&amp;TEXT(TODAY(),"YY")&amp;"-"&amp;TEXT(A73,"000"),"")))</f>
        <v/>
      </c>
      <c r="C73" s="26"/>
      <c r="D73" s="26"/>
      <c r="E73" s="26"/>
      <c r="F73" s="26"/>
      <c r="G73" s="26"/>
      <c r="H73" s="26"/>
      <c r="I73" s="26"/>
      <c r="J73" s="27" t="str">
        <f aca="false">IF(F73="","",IF(I73="","",F73*I73))</f>
        <v/>
      </c>
      <c r="K73" s="26"/>
      <c r="L73" s="26"/>
      <c r="M73" s="27" t="str">
        <f aca="false">IF(OR(J73="",L73="",K73=""),"",IFERROR((J73-K73-IF(O73="Adjust in Plan",N73,0))/L73,"-"))</f>
        <v/>
      </c>
      <c r="N73" s="28"/>
      <c r="O73" s="28"/>
      <c r="P73" s="27" t="n">
        <f aca="false">IFERROR(SUMIF(INSTALMENTS!$C:$C,B73,INSTALMENTS!$I:$I),0)</f>
        <v>0</v>
      </c>
      <c r="Q73" s="27" t="str">
        <f aca="false">IF(J73="","",J73-P73)</f>
        <v/>
      </c>
      <c r="R73" s="25" t="str">
        <f aca="true">IF(J73="","",IF(Q73&lt;=0,"✅ Completed",IF(IFERROR(SUMPRODUCT((INSTALMENTS!$C:$C=B73)*(INSTALMENTS!$F:$F&lt;TODAY())*(INSTALMENTS!$I:$I&lt;INSTALMENTS!$H:$H)),0)&gt;0,"🔴 Overdue","🟢 Active")))</f>
        <v/>
      </c>
      <c r="S73" s="26"/>
      <c r="T73" s="26"/>
      <c r="U73" s="26"/>
      <c r="V73" s="26"/>
      <c r="W73" s="26"/>
      <c r="X73" s="29"/>
      <c r="Y73" s="29"/>
      <c r="Z73" s="29"/>
      <c r="AA73" s="29"/>
      <c r="AB73" s="29"/>
      <c r="AC73" s="29"/>
      <c r="AD73" s="30"/>
      <c r="AE73" s="30"/>
      <c r="AF73" s="30"/>
      <c r="AG73" s="30"/>
      <c r="AH73" s="31"/>
      <c r="AI73" s="31"/>
      <c r="AJ73" s="31"/>
      <c r="AK73" s="31"/>
      <c r="AL73" s="31"/>
      <c r="AM73" s="31"/>
      <c r="AN73" s="26"/>
      <c r="AO73" s="26"/>
      <c r="AP73" s="26"/>
      <c r="AQ73" s="26"/>
      <c r="AR73" s="26"/>
      <c r="AS73" s="26"/>
      <c r="AT73" s="26"/>
      <c r="AU73" s="26"/>
      <c r="AV73" s="32"/>
    </row>
    <row r="74" customFormat="false" ht="15" hidden="false" customHeight="false" outlineLevel="0" collapsed="false">
      <c r="A74" s="24" t="n">
        <v>71</v>
      </c>
      <c r="B74" s="25" t="str">
        <f aca="true">IF(C74="","",IF(E74="","",IFERROR("BTM-"&amp;LEFT(C74,3)&amp;"-"&amp;E74&amp;"-"&amp;TEXT(TODAY(),"YY")&amp;"-"&amp;TEXT(A74,"000"),"")))</f>
        <v/>
      </c>
      <c r="C74" s="26"/>
      <c r="D74" s="26"/>
      <c r="E74" s="26"/>
      <c r="F74" s="26"/>
      <c r="G74" s="26"/>
      <c r="H74" s="26"/>
      <c r="I74" s="26"/>
      <c r="J74" s="27" t="str">
        <f aca="false">IF(F74="","",IF(I74="","",F74*I74))</f>
        <v/>
      </c>
      <c r="K74" s="26"/>
      <c r="L74" s="26"/>
      <c r="M74" s="27" t="str">
        <f aca="false">IF(OR(J74="",L74="",K74=""),"",IFERROR((J74-K74-IF(O74="Adjust in Plan",N74,0))/L74,"-"))</f>
        <v/>
      </c>
      <c r="N74" s="28"/>
      <c r="O74" s="28"/>
      <c r="P74" s="27" t="n">
        <f aca="false">IFERROR(SUMIF(INSTALMENTS!$C:$C,B74,INSTALMENTS!$I:$I),0)</f>
        <v>0</v>
      </c>
      <c r="Q74" s="27" t="str">
        <f aca="false">IF(J74="","",J74-P74)</f>
        <v/>
      </c>
      <c r="R74" s="25" t="str">
        <f aca="true">IF(J74="","",IF(Q74&lt;=0,"✅ Completed",IF(IFERROR(SUMPRODUCT((INSTALMENTS!$C:$C=B74)*(INSTALMENTS!$F:$F&lt;TODAY())*(INSTALMENTS!$I:$I&lt;INSTALMENTS!$H:$H)),0)&gt;0,"🔴 Overdue","🟢 Active")))</f>
        <v/>
      </c>
      <c r="S74" s="26"/>
      <c r="T74" s="26"/>
      <c r="U74" s="26"/>
      <c r="V74" s="26"/>
      <c r="W74" s="26"/>
      <c r="X74" s="29"/>
      <c r="Y74" s="29"/>
      <c r="Z74" s="29"/>
      <c r="AA74" s="29"/>
      <c r="AB74" s="29"/>
      <c r="AC74" s="29"/>
      <c r="AD74" s="30"/>
      <c r="AE74" s="30"/>
      <c r="AF74" s="30"/>
      <c r="AG74" s="30"/>
      <c r="AH74" s="31"/>
      <c r="AI74" s="31"/>
      <c r="AJ74" s="31"/>
      <c r="AK74" s="31"/>
      <c r="AL74" s="31"/>
      <c r="AM74" s="31"/>
      <c r="AN74" s="26"/>
      <c r="AO74" s="26"/>
      <c r="AP74" s="26"/>
      <c r="AQ74" s="26"/>
      <c r="AR74" s="26"/>
      <c r="AS74" s="26"/>
      <c r="AT74" s="26"/>
      <c r="AU74" s="26"/>
      <c r="AV74" s="32"/>
    </row>
    <row r="75" customFormat="false" ht="15" hidden="false" customHeight="false" outlineLevel="0" collapsed="false">
      <c r="A75" s="24" t="n">
        <v>72</v>
      </c>
      <c r="B75" s="25" t="str">
        <f aca="true">IF(C75="","",IF(E75="","",IFERROR("BTM-"&amp;LEFT(C75,3)&amp;"-"&amp;E75&amp;"-"&amp;TEXT(TODAY(),"YY")&amp;"-"&amp;TEXT(A75,"000"),"")))</f>
        <v/>
      </c>
      <c r="C75" s="26"/>
      <c r="D75" s="26"/>
      <c r="E75" s="26"/>
      <c r="F75" s="26"/>
      <c r="G75" s="26"/>
      <c r="H75" s="26"/>
      <c r="I75" s="26"/>
      <c r="J75" s="27" t="str">
        <f aca="false">IF(F75="","",IF(I75="","",F75*I75))</f>
        <v/>
      </c>
      <c r="K75" s="26"/>
      <c r="L75" s="26"/>
      <c r="M75" s="27" t="str">
        <f aca="false">IF(OR(J75="",L75="",K75=""),"",IFERROR((J75-K75-IF(O75="Adjust in Plan",N75,0))/L75,"-"))</f>
        <v/>
      </c>
      <c r="N75" s="28"/>
      <c r="O75" s="28"/>
      <c r="P75" s="27" t="n">
        <f aca="false">IFERROR(SUMIF(INSTALMENTS!$C:$C,B75,INSTALMENTS!$I:$I),0)</f>
        <v>0</v>
      </c>
      <c r="Q75" s="27" t="str">
        <f aca="false">IF(J75="","",J75-P75)</f>
        <v/>
      </c>
      <c r="R75" s="25" t="str">
        <f aca="true">IF(J75="","",IF(Q75&lt;=0,"✅ Completed",IF(IFERROR(SUMPRODUCT((INSTALMENTS!$C:$C=B75)*(INSTALMENTS!$F:$F&lt;TODAY())*(INSTALMENTS!$I:$I&lt;INSTALMENTS!$H:$H)),0)&gt;0,"🔴 Overdue","🟢 Active")))</f>
        <v/>
      </c>
      <c r="S75" s="26"/>
      <c r="T75" s="26"/>
      <c r="U75" s="26"/>
      <c r="V75" s="26"/>
      <c r="W75" s="26"/>
      <c r="X75" s="29"/>
      <c r="Y75" s="29"/>
      <c r="Z75" s="29"/>
      <c r="AA75" s="29"/>
      <c r="AB75" s="29"/>
      <c r="AC75" s="29"/>
      <c r="AD75" s="30"/>
      <c r="AE75" s="30"/>
      <c r="AF75" s="30"/>
      <c r="AG75" s="30"/>
      <c r="AH75" s="31"/>
      <c r="AI75" s="31"/>
      <c r="AJ75" s="31"/>
      <c r="AK75" s="31"/>
      <c r="AL75" s="31"/>
      <c r="AM75" s="31"/>
      <c r="AN75" s="26"/>
      <c r="AO75" s="26"/>
      <c r="AP75" s="26"/>
      <c r="AQ75" s="26"/>
      <c r="AR75" s="26"/>
      <c r="AS75" s="26"/>
      <c r="AT75" s="26"/>
      <c r="AU75" s="26"/>
      <c r="AV75" s="32"/>
    </row>
    <row r="76" customFormat="false" ht="15" hidden="false" customHeight="false" outlineLevel="0" collapsed="false">
      <c r="A76" s="24" t="n">
        <v>73</v>
      </c>
      <c r="B76" s="25" t="str">
        <f aca="true">IF(C76="","",IF(E76="","",IFERROR("BTM-"&amp;LEFT(C76,3)&amp;"-"&amp;E76&amp;"-"&amp;TEXT(TODAY(),"YY")&amp;"-"&amp;TEXT(A76,"000"),"")))</f>
        <v/>
      </c>
      <c r="C76" s="26"/>
      <c r="D76" s="26"/>
      <c r="E76" s="26"/>
      <c r="F76" s="26"/>
      <c r="G76" s="26"/>
      <c r="H76" s="26"/>
      <c r="I76" s="26"/>
      <c r="J76" s="27" t="str">
        <f aca="false">IF(F76="","",IF(I76="","",F76*I76))</f>
        <v/>
      </c>
      <c r="K76" s="26"/>
      <c r="L76" s="26"/>
      <c r="M76" s="27" t="str">
        <f aca="false">IF(OR(J76="",L76="",K76=""),"",IFERROR((J76-K76-IF(O76="Adjust in Plan",N76,0))/L76,"-"))</f>
        <v/>
      </c>
      <c r="N76" s="28"/>
      <c r="O76" s="28"/>
      <c r="P76" s="27" t="n">
        <f aca="false">IFERROR(SUMIF(INSTALMENTS!$C:$C,B76,INSTALMENTS!$I:$I),0)</f>
        <v>0</v>
      </c>
      <c r="Q76" s="27" t="str">
        <f aca="false">IF(J76="","",J76-P76)</f>
        <v/>
      </c>
      <c r="R76" s="25" t="str">
        <f aca="true">IF(J76="","",IF(Q76&lt;=0,"✅ Completed",IF(IFERROR(SUMPRODUCT((INSTALMENTS!$C:$C=B76)*(INSTALMENTS!$F:$F&lt;TODAY())*(INSTALMENTS!$I:$I&lt;INSTALMENTS!$H:$H)),0)&gt;0,"🔴 Overdue","🟢 Active")))</f>
        <v/>
      </c>
      <c r="S76" s="26"/>
      <c r="T76" s="26"/>
      <c r="U76" s="26"/>
      <c r="V76" s="26"/>
      <c r="W76" s="26"/>
      <c r="X76" s="29"/>
      <c r="Y76" s="29"/>
      <c r="Z76" s="29"/>
      <c r="AA76" s="29"/>
      <c r="AB76" s="29"/>
      <c r="AC76" s="29"/>
      <c r="AD76" s="30"/>
      <c r="AE76" s="30"/>
      <c r="AF76" s="30"/>
      <c r="AG76" s="30"/>
      <c r="AH76" s="31"/>
      <c r="AI76" s="31"/>
      <c r="AJ76" s="31"/>
      <c r="AK76" s="31"/>
      <c r="AL76" s="31"/>
      <c r="AM76" s="31"/>
      <c r="AN76" s="26"/>
      <c r="AO76" s="26"/>
      <c r="AP76" s="26"/>
      <c r="AQ76" s="26"/>
      <c r="AR76" s="26"/>
      <c r="AS76" s="26"/>
      <c r="AT76" s="26"/>
      <c r="AU76" s="26"/>
      <c r="AV76" s="32"/>
    </row>
    <row r="77" customFormat="false" ht="15" hidden="false" customHeight="false" outlineLevel="0" collapsed="false">
      <c r="A77" s="24" t="n">
        <v>74</v>
      </c>
      <c r="B77" s="25" t="str">
        <f aca="true">IF(C77="","",IF(E77="","",IFERROR("BTM-"&amp;LEFT(C77,3)&amp;"-"&amp;E77&amp;"-"&amp;TEXT(TODAY(),"YY")&amp;"-"&amp;TEXT(A77,"000"),"")))</f>
        <v/>
      </c>
      <c r="C77" s="26"/>
      <c r="D77" s="26"/>
      <c r="E77" s="26"/>
      <c r="F77" s="26"/>
      <c r="G77" s="26"/>
      <c r="H77" s="26"/>
      <c r="I77" s="26"/>
      <c r="J77" s="27" t="str">
        <f aca="false">IF(F77="","",IF(I77="","",F77*I77))</f>
        <v/>
      </c>
      <c r="K77" s="26"/>
      <c r="L77" s="26"/>
      <c r="M77" s="27" t="str">
        <f aca="false">IF(OR(J77="",L77="",K77=""),"",IFERROR((J77-K77-IF(O77="Adjust in Plan",N77,0))/L77,"-"))</f>
        <v/>
      </c>
      <c r="N77" s="28"/>
      <c r="O77" s="28"/>
      <c r="P77" s="27" t="n">
        <f aca="false">IFERROR(SUMIF(INSTALMENTS!$C:$C,B77,INSTALMENTS!$I:$I),0)</f>
        <v>0</v>
      </c>
      <c r="Q77" s="27" t="str">
        <f aca="false">IF(J77="","",J77-P77)</f>
        <v/>
      </c>
      <c r="R77" s="25" t="str">
        <f aca="true">IF(J77="","",IF(Q77&lt;=0,"✅ Completed",IF(IFERROR(SUMPRODUCT((INSTALMENTS!$C:$C=B77)*(INSTALMENTS!$F:$F&lt;TODAY())*(INSTALMENTS!$I:$I&lt;INSTALMENTS!$H:$H)),0)&gt;0,"🔴 Overdue","🟢 Active")))</f>
        <v/>
      </c>
      <c r="S77" s="26"/>
      <c r="T77" s="26"/>
      <c r="U77" s="26"/>
      <c r="V77" s="26"/>
      <c r="W77" s="26"/>
      <c r="X77" s="29"/>
      <c r="Y77" s="29"/>
      <c r="Z77" s="29"/>
      <c r="AA77" s="29"/>
      <c r="AB77" s="29"/>
      <c r="AC77" s="29"/>
      <c r="AD77" s="30"/>
      <c r="AE77" s="30"/>
      <c r="AF77" s="30"/>
      <c r="AG77" s="30"/>
      <c r="AH77" s="31"/>
      <c r="AI77" s="31"/>
      <c r="AJ77" s="31"/>
      <c r="AK77" s="31"/>
      <c r="AL77" s="31"/>
      <c r="AM77" s="31"/>
      <c r="AN77" s="26"/>
      <c r="AO77" s="26"/>
      <c r="AP77" s="26"/>
      <c r="AQ77" s="26"/>
      <c r="AR77" s="26"/>
      <c r="AS77" s="26"/>
      <c r="AT77" s="26"/>
      <c r="AU77" s="26"/>
      <c r="AV77" s="32"/>
    </row>
    <row r="78" customFormat="false" ht="15" hidden="false" customHeight="false" outlineLevel="0" collapsed="false">
      <c r="A78" s="24" t="n">
        <v>75</v>
      </c>
      <c r="B78" s="25" t="str">
        <f aca="true">IF(C78="","",IF(E78="","",IFERROR("BTM-"&amp;LEFT(C78,3)&amp;"-"&amp;E78&amp;"-"&amp;TEXT(TODAY(),"YY")&amp;"-"&amp;TEXT(A78,"000"),"")))</f>
        <v/>
      </c>
      <c r="C78" s="26"/>
      <c r="D78" s="26"/>
      <c r="E78" s="26"/>
      <c r="F78" s="26"/>
      <c r="G78" s="26"/>
      <c r="H78" s="26"/>
      <c r="I78" s="26"/>
      <c r="J78" s="27" t="str">
        <f aca="false">IF(F78="","",IF(I78="","",F78*I78))</f>
        <v/>
      </c>
      <c r="K78" s="26"/>
      <c r="L78" s="26"/>
      <c r="M78" s="27" t="str">
        <f aca="false">IF(OR(J78="",L78="",K78=""),"",IFERROR((J78-K78-IF(O78="Adjust in Plan",N78,0))/L78,"-"))</f>
        <v/>
      </c>
      <c r="N78" s="28"/>
      <c r="O78" s="28"/>
      <c r="P78" s="27" t="n">
        <f aca="false">IFERROR(SUMIF(INSTALMENTS!$C:$C,B78,INSTALMENTS!$I:$I),0)</f>
        <v>0</v>
      </c>
      <c r="Q78" s="27" t="str">
        <f aca="false">IF(J78="","",J78-P78)</f>
        <v/>
      </c>
      <c r="R78" s="25" t="str">
        <f aca="true">IF(J78="","",IF(Q78&lt;=0,"✅ Completed",IF(IFERROR(SUMPRODUCT((INSTALMENTS!$C:$C=B78)*(INSTALMENTS!$F:$F&lt;TODAY())*(INSTALMENTS!$I:$I&lt;INSTALMENTS!$H:$H)),0)&gt;0,"🔴 Overdue","🟢 Active")))</f>
        <v/>
      </c>
      <c r="S78" s="26"/>
      <c r="T78" s="26"/>
      <c r="U78" s="26"/>
      <c r="V78" s="26"/>
      <c r="W78" s="26"/>
      <c r="X78" s="29"/>
      <c r="Y78" s="29"/>
      <c r="Z78" s="29"/>
      <c r="AA78" s="29"/>
      <c r="AB78" s="29"/>
      <c r="AC78" s="29"/>
      <c r="AD78" s="30"/>
      <c r="AE78" s="30"/>
      <c r="AF78" s="30"/>
      <c r="AG78" s="30"/>
      <c r="AH78" s="31"/>
      <c r="AI78" s="31"/>
      <c r="AJ78" s="31"/>
      <c r="AK78" s="31"/>
      <c r="AL78" s="31"/>
      <c r="AM78" s="31"/>
      <c r="AN78" s="26"/>
      <c r="AO78" s="26"/>
      <c r="AP78" s="26"/>
      <c r="AQ78" s="26"/>
      <c r="AR78" s="26"/>
      <c r="AS78" s="26"/>
      <c r="AT78" s="26"/>
      <c r="AU78" s="26"/>
      <c r="AV78" s="32"/>
    </row>
    <row r="79" customFormat="false" ht="15" hidden="false" customHeight="false" outlineLevel="0" collapsed="false">
      <c r="A79" s="24" t="n">
        <v>76</v>
      </c>
      <c r="B79" s="25" t="str">
        <f aca="true">IF(C79="","",IF(E79="","",IFERROR("BTM-"&amp;LEFT(C79,3)&amp;"-"&amp;E79&amp;"-"&amp;TEXT(TODAY(),"YY")&amp;"-"&amp;TEXT(A79,"000"),"")))</f>
        <v/>
      </c>
      <c r="C79" s="26"/>
      <c r="D79" s="26"/>
      <c r="E79" s="26"/>
      <c r="F79" s="26"/>
      <c r="G79" s="26"/>
      <c r="H79" s="26"/>
      <c r="I79" s="26"/>
      <c r="J79" s="27" t="str">
        <f aca="false">IF(F79="","",IF(I79="","",F79*I79))</f>
        <v/>
      </c>
      <c r="K79" s="26"/>
      <c r="L79" s="26"/>
      <c r="M79" s="27" t="str">
        <f aca="false">IF(OR(J79="",L79="",K79=""),"",IFERROR((J79-K79-IF(O79="Adjust in Plan",N79,0))/L79,"-"))</f>
        <v/>
      </c>
      <c r="N79" s="28"/>
      <c r="O79" s="28"/>
      <c r="P79" s="27" t="n">
        <f aca="false">IFERROR(SUMIF(INSTALMENTS!$C:$C,B79,INSTALMENTS!$I:$I),0)</f>
        <v>0</v>
      </c>
      <c r="Q79" s="27" t="str">
        <f aca="false">IF(J79="","",J79-P79)</f>
        <v/>
      </c>
      <c r="R79" s="25" t="str">
        <f aca="true">IF(J79="","",IF(Q79&lt;=0,"✅ Completed",IF(IFERROR(SUMPRODUCT((INSTALMENTS!$C:$C=B79)*(INSTALMENTS!$F:$F&lt;TODAY())*(INSTALMENTS!$I:$I&lt;INSTALMENTS!$H:$H)),0)&gt;0,"🔴 Overdue","🟢 Active")))</f>
        <v/>
      </c>
      <c r="S79" s="26"/>
      <c r="T79" s="26"/>
      <c r="U79" s="26"/>
      <c r="V79" s="26"/>
      <c r="W79" s="26"/>
      <c r="X79" s="29"/>
      <c r="Y79" s="29"/>
      <c r="Z79" s="29"/>
      <c r="AA79" s="29"/>
      <c r="AB79" s="29"/>
      <c r="AC79" s="29"/>
      <c r="AD79" s="30"/>
      <c r="AE79" s="30"/>
      <c r="AF79" s="30"/>
      <c r="AG79" s="30"/>
      <c r="AH79" s="31"/>
      <c r="AI79" s="31"/>
      <c r="AJ79" s="31"/>
      <c r="AK79" s="31"/>
      <c r="AL79" s="31"/>
      <c r="AM79" s="31"/>
      <c r="AN79" s="26"/>
      <c r="AO79" s="26"/>
      <c r="AP79" s="26"/>
      <c r="AQ79" s="26"/>
      <c r="AR79" s="26"/>
      <c r="AS79" s="26"/>
      <c r="AT79" s="26"/>
      <c r="AU79" s="26"/>
      <c r="AV79" s="32"/>
    </row>
    <row r="80" customFormat="false" ht="15" hidden="false" customHeight="false" outlineLevel="0" collapsed="false">
      <c r="A80" s="24" t="n">
        <v>77</v>
      </c>
      <c r="B80" s="25" t="str">
        <f aca="true">IF(C80="","",IF(E80="","",IFERROR("BTM-"&amp;LEFT(C80,3)&amp;"-"&amp;E80&amp;"-"&amp;TEXT(TODAY(),"YY")&amp;"-"&amp;TEXT(A80,"000"),"")))</f>
        <v/>
      </c>
      <c r="C80" s="26"/>
      <c r="D80" s="26"/>
      <c r="E80" s="26"/>
      <c r="F80" s="26"/>
      <c r="G80" s="26"/>
      <c r="H80" s="26"/>
      <c r="I80" s="26"/>
      <c r="J80" s="27" t="str">
        <f aca="false">IF(F80="","",IF(I80="","",F80*I80))</f>
        <v/>
      </c>
      <c r="K80" s="26"/>
      <c r="L80" s="26"/>
      <c r="M80" s="27" t="str">
        <f aca="false">IF(OR(J80="",L80="",K80=""),"",IFERROR((J80-K80-IF(O80="Adjust in Plan",N80,0))/L80,"-"))</f>
        <v/>
      </c>
      <c r="N80" s="28"/>
      <c r="O80" s="28"/>
      <c r="P80" s="27" t="n">
        <f aca="false">IFERROR(SUMIF(INSTALMENTS!$C:$C,B80,INSTALMENTS!$I:$I),0)</f>
        <v>0</v>
      </c>
      <c r="Q80" s="27" t="str">
        <f aca="false">IF(J80="","",J80-P80)</f>
        <v/>
      </c>
      <c r="R80" s="25" t="str">
        <f aca="true">IF(J80="","",IF(Q80&lt;=0,"✅ Completed",IF(IFERROR(SUMPRODUCT((INSTALMENTS!$C:$C=B80)*(INSTALMENTS!$F:$F&lt;TODAY())*(INSTALMENTS!$I:$I&lt;INSTALMENTS!$H:$H)),0)&gt;0,"🔴 Overdue","🟢 Active")))</f>
        <v/>
      </c>
      <c r="S80" s="26"/>
      <c r="T80" s="26"/>
      <c r="U80" s="26"/>
      <c r="V80" s="26"/>
      <c r="W80" s="26"/>
      <c r="X80" s="29"/>
      <c r="Y80" s="29"/>
      <c r="Z80" s="29"/>
      <c r="AA80" s="29"/>
      <c r="AB80" s="29"/>
      <c r="AC80" s="29"/>
      <c r="AD80" s="30"/>
      <c r="AE80" s="30"/>
      <c r="AF80" s="30"/>
      <c r="AG80" s="30"/>
      <c r="AH80" s="31"/>
      <c r="AI80" s="31"/>
      <c r="AJ80" s="31"/>
      <c r="AK80" s="31"/>
      <c r="AL80" s="31"/>
      <c r="AM80" s="31"/>
      <c r="AN80" s="26"/>
      <c r="AO80" s="26"/>
      <c r="AP80" s="26"/>
      <c r="AQ80" s="26"/>
      <c r="AR80" s="26"/>
      <c r="AS80" s="26"/>
      <c r="AT80" s="26"/>
      <c r="AU80" s="26"/>
      <c r="AV80" s="32"/>
    </row>
    <row r="81" customFormat="false" ht="15" hidden="false" customHeight="false" outlineLevel="0" collapsed="false">
      <c r="A81" s="24" t="n">
        <v>78</v>
      </c>
      <c r="B81" s="25" t="str">
        <f aca="true">IF(C81="","",IF(E81="","",IFERROR("BTM-"&amp;LEFT(C81,3)&amp;"-"&amp;E81&amp;"-"&amp;TEXT(TODAY(),"YY")&amp;"-"&amp;TEXT(A81,"000"),"")))</f>
        <v/>
      </c>
      <c r="C81" s="26"/>
      <c r="D81" s="26"/>
      <c r="E81" s="26"/>
      <c r="F81" s="26"/>
      <c r="G81" s="26"/>
      <c r="H81" s="26"/>
      <c r="I81" s="26"/>
      <c r="J81" s="27" t="str">
        <f aca="false">IF(F81="","",IF(I81="","",F81*I81))</f>
        <v/>
      </c>
      <c r="K81" s="26"/>
      <c r="L81" s="26"/>
      <c r="M81" s="27" t="str">
        <f aca="false">IF(OR(J81="",L81="",K81=""),"",IFERROR((J81-K81-IF(O81="Adjust in Plan",N81,0))/L81,"-"))</f>
        <v/>
      </c>
      <c r="N81" s="28"/>
      <c r="O81" s="28"/>
      <c r="P81" s="27" t="n">
        <f aca="false">IFERROR(SUMIF(INSTALMENTS!$C:$C,B81,INSTALMENTS!$I:$I),0)</f>
        <v>0</v>
      </c>
      <c r="Q81" s="27" t="str">
        <f aca="false">IF(J81="","",J81-P81)</f>
        <v/>
      </c>
      <c r="R81" s="25" t="str">
        <f aca="true">IF(J81="","",IF(Q81&lt;=0,"✅ Completed",IF(IFERROR(SUMPRODUCT((INSTALMENTS!$C:$C=B81)*(INSTALMENTS!$F:$F&lt;TODAY())*(INSTALMENTS!$I:$I&lt;INSTALMENTS!$H:$H)),0)&gt;0,"🔴 Overdue","🟢 Active")))</f>
        <v/>
      </c>
      <c r="S81" s="26"/>
      <c r="T81" s="26"/>
      <c r="U81" s="26"/>
      <c r="V81" s="26"/>
      <c r="W81" s="26"/>
      <c r="X81" s="29"/>
      <c r="Y81" s="29"/>
      <c r="Z81" s="29"/>
      <c r="AA81" s="29"/>
      <c r="AB81" s="29"/>
      <c r="AC81" s="29"/>
      <c r="AD81" s="30"/>
      <c r="AE81" s="30"/>
      <c r="AF81" s="30"/>
      <c r="AG81" s="30"/>
      <c r="AH81" s="31"/>
      <c r="AI81" s="31"/>
      <c r="AJ81" s="31"/>
      <c r="AK81" s="31"/>
      <c r="AL81" s="31"/>
      <c r="AM81" s="31"/>
      <c r="AN81" s="26"/>
      <c r="AO81" s="26"/>
      <c r="AP81" s="26"/>
      <c r="AQ81" s="26"/>
      <c r="AR81" s="26"/>
      <c r="AS81" s="26"/>
      <c r="AT81" s="26"/>
      <c r="AU81" s="26"/>
      <c r="AV81" s="32"/>
    </row>
    <row r="82" customFormat="false" ht="15" hidden="false" customHeight="false" outlineLevel="0" collapsed="false">
      <c r="A82" s="24" t="n">
        <v>79</v>
      </c>
      <c r="B82" s="25" t="str">
        <f aca="true">IF(C82="","",IF(E82="","",IFERROR("BTM-"&amp;LEFT(C82,3)&amp;"-"&amp;E82&amp;"-"&amp;TEXT(TODAY(),"YY")&amp;"-"&amp;TEXT(A82,"000"),"")))</f>
        <v/>
      </c>
      <c r="C82" s="26"/>
      <c r="D82" s="26"/>
      <c r="E82" s="26"/>
      <c r="F82" s="26"/>
      <c r="G82" s="26"/>
      <c r="H82" s="26"/>
      <c r="I82" s="26"/>
      <c r="J82" s="27" t="str">
        <f aca="false">IF(F82="","",IF(I82="","",F82*I82))</f>
        <v/>
      </c>
      <c r="K82" s="26"/>
      <c r="L82" s="26"/>
      <c r="M82" s="27" t="str">
        <f aca="false">IF(OR(J82="",L82="",K82=""),"",IFERROR((J82-K82-IF(O82="Adjust in Plan",N82,0))/L82,"-"))</f>
        <v/>
      </c>
      <c r="N82" s="28"/>
      <c r="O82" s="28"/>
      <c r="P82" s="27" t="n">
        <f aca="false">IFERROR(SUMIF(INSTALMENTS!$C:$C,B82,INSTALMENTS!$I:$I),0)</f>
        <v>0</v>
      </c>
      <c r="Q82" s="27" t="str">
        <f aca="false">IF(J82="","",J82-P82)</f>
        <v/>
      </c>
      <c r="R82" s="25" t="str">
        <f aca="true">IF(J82="","",IF(Q82&lt;=0,"✅ Completed",IF(IFERROR(SUMPRODUCT((INSTALMENTS!$C:$C=B82)*(INSTALMENTS!$F:$F&lt;TODAY())*(INSTALMENTS!$I:$I&lt;INSTALMENTS!$H:$H)),0)&gt;0,"🔴 Overdue","🟢 Active")))</f>
        <v/>
      </c>
      <c r="S82" s="26"/>
      <c r="T82" s="26"/>
      <c r="U82" s="26"/>
      <c r="V82" s="26"/>
      <c r="W82" s="26"/>
      <c r="X82" s="29"/>
      <c r="Y82" s="29"/>
      <c r="Z82" s="29"/>
      <c r="AA82" s="29"/>
      <c r="AB82" s="29"/>
      <c r="AC82" s="29"/>
      <c r="AD82" s="30"/>
      <c r="AE82" s="30"/>
      <c r="AF82" s="30"/>
      <c r="AG82" s="30"/>
      <c r="AH82" s="31"/>
      <c r="AI82" s="31"/>
      <c r="AJ82" s="31"/>
      <c r="AK82" s="31"/>
      <c r="AL82" s="31"/>
      <c r="AM82" s="31"/>
      <c r="AN82" s="26"/>
      <c r="AO82" s="26"/>
      <c r="AP82" s="26"/>
      <c r="AQ82" s="26"/>
      <c r="AR82" s="26"/>
      <c r="AS82" s="26"/>
      <c r="AT82" s="26"/>
      <c r="AU82" s="26"/>
      <c r="AV82" s="32"/>
    </row>
    <row r="83" customFormat="false" ht="15" hidden="false" customHeight="false" outlineLevel="0" collapsed="false">
      <c r="A83" s="24" t="n">
        <v>80</v>
      </c>
      <c r="B83" s="25" t="str">
        <f aca="true">IF(C83="","",IF(E83="","",IFERROR("BTM-"&amp;LEFT(C83,3)&amp;"-"&amp;E83&amp;"-"&amp;TEXT(TODAY(),"YY")&amp;"-"&amp;TEXT(A83,"000"),"")))</f>
        <v/>
      </c>
      <c r="C83" s="26"/>
      <c r="D83" s="26"/>
      <c r="E83" s="26"/>
      <c r="F83" s="26"/>
      <c r="G83" s="26"/>
      <c r="H83" s="26"/>
      <c r="I83" s="26"/>
      <c r="J83" s="27" t="str">
        <f aca="false">IF(F83="","",IF(I83="","",F83*I83))</f>
        <v/>
      </c>
      <c r="K83" s="26"/>
      <c r="L83" s="26"/>
      <c r="M83" s="27" t="str">
        <f aca="false">IF(OR(J83="",L83="",K83=""),"",IFERROR((J83-K83-IF(O83="Adjust in Plan",N83,0))/L83,"-"))</f>
        <v/>
      </c>
      <c r="N83" s="28"/>
      <c r="O83" s="28"/>
      <c r="P83" s="27" t="n">
        <f aca="false">IFERROR(SUMIF(INSTALMENTS!$C:$C,B83,INSTALMENTS!$I:$I),0)</f>
        <v>0</v>
      </c>
      <c r="Q83" s="27" t="str">
        <f aca="false">IF(J83="","",J83-P83)</f>
        <v/>
      </c>
      <c r="R83" s="25" t="str">
        <f aca="true">IF(J83="","",IF(Q83&lt;=0,"✅ Completed",IF(IFERROR(SUMPRODUCT((INSTALMENTS!$C:$C=B83)*(INSTALMENTS!$F:$F&lt;TODAY())*(INSTALMENTS!$I:$I&lt;INSTALMENTS!$H:$H)),0)&gt;0,"🔴 Overdue","🟢 Active")))</f>
        <v/>
      </c>
      <c r="S83" s="26"/>
      <c r="T83" s="26"/>
      <c r="U83" s="26"/>
      <c r="V83" s="26"/>
      <c r="W83" s="26"/>
      <c r="X83" s="29"/>
      <c r="Y83" s="29"/>
      <c r="Z83" s="29"/>
      <c r="AA83" s="29"/>
      <c r="AB83" s="29"/>
      <c r="AC83" s="29"/>
      <c r="AD83" s="30"/>
      <c r="AE83" s="30"/>
      <c r="AF83" s="30"/>
      <c r="AG83" s="30"/>
      <c r="AH83" s="31"/>
      <c r="AI83" s="31"/>
      <c r="AJ83" s="31"/>
      <c r="AK83" s="31"/>
      <c r="AL83" s="31"/>
      <c r="AM83" s="31"/>
      <c r="AN83" s="26"/>
      <c r="AO83" s="26"/>
      <c r="AP83" s="26"/>
      <c r="AQ83" s="26"/>
      <c r="AR83" s="26"/>
      <c r="AS83" s="26"/>
      <c r="AT83" s="26"/>
      <c r="AU83" s="26"/>
      <c r="AV83" s="32"/>
    </row>
    <row r="84" customFormat="false" ht="15" hidden="false" customHeight="false" outlineLevel="0" collapsed="false">
      <c r="A84" s="24" t="n">
        <v>81</v>
      </c>
      <c r="B84" s="25" t="str">
        <f aca="true">IF(C84="","",IF(E84="","",IFERROR("BTM-"&amp;LEFT(C84,3)&amp;"-"&amp;E84&amp;"-"&amp;TEXT(TODAY(),"YY")&amp;"-"&amp;TEXT(A84,"000"),"")))</f>
        <v/>
      </c>
      <c r="C84" s="26"/>
      <c r="D84" s="26"/>
      <c r="E84" s="26"/>
      <c r="F84" s="26"/>
      <c r="G84" s="26"/>
      <c r="H84" s="26"/>
      <c r="I84" s="26"/>
      <c r="J84" s="27" t="str">
        <f aca="false">IF(F84="","",IF(I84="","",F84*I84))</f>
        <v/>
      </c>
      <c r="K84" s="26"/>
      <c r="L84" s="26"/>
      <c r="M84" s="27" t="str">
        <f aca="false">IF(OR(J84="",L84="",K84=""),"",IFERROR((J84-K84-IF(O84="Adjust in Plan",N84,0))/L84,"-"))</f>
        <v/>
      </c>
      <c r="N84" s="28"/>
      <c r="O84" s="28"/>
      <c r="P84" s="27" t="n">
        <f aca="false">IFERROR(SUMIF(INSTALMENTS!$C:$C,B84,INSTALMENTS!$I:$I),0)</f>
        <v>0</v>
      </c>
      <c r="Q84" s="27" t="str">
        <f aca="false">IF(J84="","",J84-P84)</f>
        <v/>
      </c>
      <c r="R84" s="25" t="str">
        <f aca="true">IF(J84="","",IF(Q84&lt;=0,"✅ Completed",IF(IFERROR(SUMPRODUCT((INSTALMENTS!$C:$C=B84)*(INSTALMENTS!$F:$F&lt;TODAY())*(INSTALMENTS!$I:$I&lt;INSTALMENTS!$H:$H)),0)&gt;0,"🔴 Overdue","🟢 Active")))</f>
        <v/>
      </c>
      <c r="S84" s="26"/>
      <c r="T84" s="26"/>
      <c r="U84" s="26"/>
      <c r="V84" s="26"/>
      <c r="W84" s="26"/>
      <c r="X84" s="29"/>
      <c r="Y84" s="29"/>
      <c r="Z84" s="29"/>
      <c r="AA84" s="29"/>
      <c r="AB84" s="29"/>
      <c r="AC84" s="29"/>
      <c r="AD84" s="30"/>
      <c r="AE84" s="30"/>
      <c r="AF84" s="30"/>
      <c r="AG84" s="30"/>
      <c r="AH84" s="31"/>
      <c r="AI84" s="31"/>
      <c r="AJ84" s="31"/>
      <c r="AK84" s="31"/>
      <c r="AL84" s="31"/>
      <c r="AM84" s="31"/>
      <c r="AN84" s="26"/>
      <c r="AO84" s="26"/>
      <c r="AP84" s="26"/>
      <c r="AQ84" s="26"/>
      <c r="AR84" s="26"/>
      <c r="AS84" s="26"/>
      <c r="AT84" s="26"/>
      <c r="AU84" s="26"/>
      <c r="AV84" s="32"/>
    </row>
    <row r="85" customFormat="false" ht="15" hidden="false" customHeight="false" outlineLevel="0" collapsed="false">
      <c r="A85" s="24" t="n">
        <v>82</v>
      </c>
      <c r="B85" s="25" t="str">
        <f aca="true">IF(C85="","",IF(E85="","",IFERROR("BTM-"&amp;LEFT(C85,3)&amp;"-"&amp;E85&amp;"-"&amp;TEXT(TODAY(),"YY")&amp;"-"&amp;TEXT(A85,"000"),"")))</f>
        <v/>
      </c>
      <c r="C85" s="26"/>
      <c r="D85" s="26"/>
      <c r="E85" s="26"/>
      <c r="F85" s="26"/>
      <c r="G85" s="26"/>
      <c r="H85" s="26"/>
      <c r="I85" s="26"/>
      <c r="J85" s="27" t="str">
        <f aca="false">IF(F85="","",IF(I85="","",F85*I85))</f>
        <v/>
      </c>
      <c r="K85" s="26"/>
      <c r="L85" s="26"/>
      <c r="M85" s="27" t="str">
        <f aca="false">IF(OR(J85="",L85="",K85=""),"",IFERROR((J85-K85-IF(O85="Adjust in Plan",N85,0))/L85,"-"))</f>
        <v/>
      </c>
      <c r="N85" s="28"/>
      <c r="O85" s="28"/>
      <c r="P85" s="27" t="n">
        <f aca="false">IFERROR(SUMIF(INSTALMENTS!$C:$C,B85,INSTALMENTS!$I:$I),0)</f>
        <v>0</v>
      </c>
      <c r="Q85" s="27" t="str">
        <f aca="false">IF(J85="","",J85-P85)</f>
        <v/>
      </c>
      <c r="R85" s="25" t="str">
        <f aca="true">IF(J85="","",IF(Q85&lt;=0,"✅ Completed",IF(IFERROR(SUMPRODUCT((INSTALMENTS!$C:$C=B85)*(INSTALMENTS!$F:$F&lt;TODAY())*(INSTALMENTS!$I:$I&lt;INSTALMENTS!$H:$H)),0)&gt;0,"🔴 Overdue","🟢 Active")))</f>
        <v/>
      </c>
      <c r="S85" s="26"/>
      <c r="T85" s="26"/>
      <c r="U85" s="26"/>
      <c r="V85" s="26"/>
      <c r="W85" s="26"/>
      <c r="X85" s="29"/>
      <c r="Y85" s="29"/>
      <c r="Z85" s="29"/>
      <c r="AA85" s="29"/>
      <c r="AB85" s="29"/>
      <c r="AC85" s="29"/>
      <c r="AD85" s="30"/>
      <c r="AE85" s="30"/>
      <c r="AF85" s="30"/>
      <c r="AG85" s="30"/>
      <c r="AH85" s="31"/>
      <c r="AI85" s="31"/>
      <c r="AJ85" s="31"/>
      <c r="AK85" s="31"/>
      <c r="AL85" s="31"/>
      <c r="AM85" s="31"/>
      <c r="AN85" s="26"/>
      <c r="AO85" s="26"/>
      <c r="AP85" s="26"/>
      <c r="AQ85" s="26"/>
      <c r="AR85" s="26"/>
      <c r="AS85" s="26"/>
      <c r="AT85" s="26"/>
      <c r="AU85" s="26"/>
      <c r="AV85" s="32"/>
    </row>
    <row r="86" customFormat="false" ht="15" hidden="false" customHeight="false" outlineLevel="0" collapsed="false">
      <c r="A86" s="24" t="n">
        <v>83</v>
      </c>
      <c r="B86" s="25" t="str">
        <f aca="true">IF(C86="","",IF(E86="","",IFERROR("BTM-"&amp;LEFT(C86,3)&amp;"-"&amp;E86&amp;"-"&amp;TEXT(TODAY(),"YY")&amp;"-"&amp;TEXT(A86,"000"),"")))</f>
        <v/>
      </c>
      <c r="C86" s="26"/>
      <c r="D86" s="26"/>
      <c r="E86" s="26"/>
      <c r="F86" s="26"/>
      <c r="G86" s="26"/>
      <c r="H86" s="26"/>
      <c r="I86" s="26"/>
      <c r="J86" s="27" t="str">
        <f aca="false">IF(F86="","",IF(I86="","",F86*I86))</f>
        <v/>
      </c>
      <c r="K86" s="26"/>
      <c r="L86" s="26"/>
      <c r="M86" s="27" t="str">
        <f aca="false">IF(OR(J86="",L86="",K86=""),"",IFERROR((J86-K86-IF(O86="Adjust in Plan",N86,0))/L86,"-"))</f>
        <v/>
      </c>
      <c r="N86" s="28"/>
      <c r="O86" s="28"/>
      <c r="P86" s="27" t="n">
        <f aca="false">IFERROR(SUMIF(INSTALMENTS!$C:$C,B86,INSTALMENTS!$I:$I),0)</f>
        <v>0</v>
      </c>
      <c r="Q86" s="27" t="str">
        <f aca="false">IF(J86="","",J86-P86)</f>
        <v/>
      </c>
      <c r="R86" s="25" t="str">
        <f aca="true">IF(J86="","",IF(Q86&lt;=0,"✅ Completed",IF(IFERROR(SUMPRODUCT((INSTALMENTS!$C:$C=B86)*(INSTALMENTS!$F:$F&lt;TODAY())*(INSTALMENTS!$I:$I&lt;INSTALMENTS!$H:$H)),0)&gt;0,"🔴 Overdue","🟢 Active")))</f>
        <v/>
      </c>
      <c r="S86" s="26"/>
      <c r="T86" s="26"/>
      <c r="U86" s="26"/>
      <c r="V86" s="26"/>
      <c r="W86" s="26"/>
      <c r="X86" s="29"/>
      <c r="Y86" s="29"/>
      <c r="Z86" s="29"/>
      <c r="AA86" s="29"/>
      <c r="AB86" s="29"/>
      <c r="AC86" s="29"/>
      <c r="AD86" s="30"/>
      <c r="AE86" s="30"/>
      <c r="AF86" s="30"/>
      <c r="AG86" s="30"/>
      <c r="AH86" s="31"/>
      <c r="AI86" s="31"/>
      <c r="AJ86" s="31"/>
      <c r="AK86" s="31"/>
      <c r="AL86" s="31"/>
      <c r="AM86" s="31"/>
      <c r="AN86" s="26"/>
      <c r="AO86" s="26"/>
      <c r="AP86" s="26"/>
      <c r="AQ86" s="26"/>
      <c r="AR86" s="26"/>
      <c r="AS86" s="26"/>
      <c r="AT86" s="26"/>
      <c r="AU86" s="26"/>
      <c r="AV86" s="32"/>
    </row>
    <row r="87" customFormat="false" ht="15" hidden="false" customHeight="false" outlineLevel="0" collapsed="false">
      <c r="A87" s="24" t="n">
        <v>84</v>
      </c>
      <c r="B87" s="25" t="str">
        <f aca="true">IF(C87="","",IF(E87="","",IFERROR("BTM-"&amp;LEFT(C87,3)&amp;"-"&amp;E87&amp;"-"&amp;TEXT(TODAY(),"YY")&amp;"-"&amp;TEXT(A87,"000"),"")))</f>
        <v/>
      </c>
      <c r="C87" s="26"/>
      <c r="D87" s="26"/>
      <c r="E87" s="26"/>
      <c r="F87" s="26"/>
      <c r="G87" s="26"/>
      <c r="H87" s="26"/>
      <c r="I87" s="26"/>
      <c r="J87" s="27" t="str">
        <f aca="false">IF(F87="","",IF(I87="","",F87*I87))</f>
        <v/>
      </c>
      <c r="K87" s="26"/>
      <c r="L87" s="26"/>
      <c r="M87" s="27" t="str">
        <f aca="false">IF(OR(J87="",L87="",K87=""),"",IFERROR((J87-K87-IF(O87="Adjust in Plan",N87,0))/L87,"-"))</f>
        <v/>
      </c>
      <c r="N87" s="28"/>
      <c r="O87" s="28"/>
      <c r="P87" s="27" t="n">
        <f aca="false">IFERROR(SUMIF(INSTALMENTS!$C:$C,B87,INSTALMENTS!$I:$I),0)</f>
        <v>0</v>
      </c>
      <c r="Q87" s="27" t="str">
        <f aca="false">IF(J87="","",J87-P87)</f>
        <v/>
      </c>
      <c r="R87" s="25" t="str">
        <f aca="true">IF(J87="","",IF(Q87&lt;=0,"✅ Completed",IF(IFERROR(SUMPRODUCT((INSTALMENTS!$C:$C=B87)*(INSTALMENTS!$F:$F&lt;TODAY())*(INSTALMENTS!$I:$I&lt;INSTALMENTS!$H:$H)),0)&gt;0,"🔴 Overdue","🟢 Active")))</f>
        <v/>
      </c>
      <c r="S87" s="26"/>
      <c r="T87" s="26"/>
      <c r="U87" s="26"/>
      <c r="V87" s="26"/>
      <c r="W87" s="26"/>
      <c r="X87" s="29"/>
      <c r="Y87" s="29"/>
      <c r="Z87" s="29"/>
      <c r="AA87" s="29"/>
      <c r="AB87" s="29"/>
      <c r="AC87" s="29"/>
      <c r="AD87" s="30"/>
      <c r="AE87" s="30"/>
      <c r="AF87" s="30"/>
      <c r="AG87" s="30"/>
      <c r="AH87" s="31"/>
      <c r="AI87" s="31"/>
      <c r="AJ87" s="31"/>
      <c r="AK87" s="31"/>
      <c r="AL87" s="31"/>
      <c r="AM87" s="31"/>
      <c r="AN87" s="26"/>
      <c r="AO87" s="26"/>
      <c r="AP87" s="26"/>
      <c r="AQ87" s="26"/>
      <c r="AR87" s="26"/>
      <c r="AS87" s="26"/>
      <c r="AT87" s="26"/>
      <c r="AU87" s="26"/>
      <c r="AV87" s="32"/>
    </row>
    <row r="88" customFormat="false" ht="15" hidden="false" customHeight="false" outlineLevel="0" collapsed="false">
      <c r="A88" s="24" t="n">
        <v>85</v>
      </c>
      <c r="B88" s="25" t="str">
        <f aca="true">IF(C88="","",IF(E88="","",IFERROR("BTM-"&amp;LEFT(C88,3)&amp;"-"&amp;E88&amp;"-"&amp;TEXT(TODAY(),"YY")&amp;"-"&amp;TEXT(A88,"000"),"")))</f>
        <v/>
      </c>
      <c r="C88" s="26"/>
      <c r="D88" s="26"/>
      <c r="E88" s="26"/>
      <c r="F88" s="26"/>
      <c r="G88" s="26"/>
      <c r="H88" s="26"/>
      <c r="I88" s="26"/>
      <c r="J88" s="27" t="str">
        <f aca="false">IF(F88="","",IF(I88="","",F88*I88))</f>
        <v/>
      </c>
      <c r="K88" s="26"/>
      <c r="L88" s="26"/>
      <c r="M88" s="27" t="str">
        <f aca="false">IF(OR(J88="",L88="",K88=""),"",IFERROR((J88-K88-IF(O88="Adjust in Plan",N88,0))/L88,"-"))</f>
        <v/>
      </c>
      <c r="N88" s="28"/>
      <c r="O88" s="28"/>
      <c r="P88" s="27" t="n">
        <f aca="false">IFERROR(SUMIF(INSTALMENTS!$C:$C,B88,INSTALMENTS!$I:$I),0)</f>
        <v>0</v>
      </c>
      <c r="Q88" s="27" t="str">
        <f aca="false">IF(J88="","",J88-P88)</f>
        <v/>
      </c>
      <c r="R88" s="25" t="str">
        <f aca="true">IF(J88="","",IF(Q88&lt;=0,"✅ Completed",IF(IFERROR(SUMPRODUCT((INSTALMENTS!$C:$C=B88)*(INSTALMENTS!$F:$F&lt;TODAY())*(INSTALMENTS!$I:$I&lt;INSTALMENTS!$H:$H)),0)&gt;0,"🔴 Overdue","🟢 Active")))</f>
        <v/>
      </c>
      <c r="S88" s="26"/>
      <c r="T88" s="26"/>
      <c r="U88" s="26"/>
      <c r="V88" s="26"/>
      <c r="W88" s="26"/>
      <c r="X88" s="29"/>
      <c r="Y88" s="29"/>
      <c r="Z88" s="29"/>
      <c r="AA88" s="29"/>
      <c r="AB88" s="29"/>
      <c r="AC88" s="29"/>
      <c r="AD88" s="30"/>
      <c r="AE88" s="30"/>
      <c r="AF88" s="30"/>
      <c r="AG88" s="30"/>
      <c r="AH88" s="31"/>
      <c r="AI88" s="31"/>
      <c r="AJ88" s="31"/>
      <c r="AK88" s="31"/>
      <c r="AL88" s="31"/>
      <c r="AM88" s="31"/>
      <c r="AN88" s="26"/>
      <c r="AO88" s="26"/>
      <c r="AP88" s="26"/>
      <c r="AQ88" s="26"/>
      <c r="AR88" s="26"/>
      <c r="AS88" s="26"/>
      <c r="AT88" s="26"/>
      <c r="AU88" s="26"/>
      <c r="AV88" s="32"/>
    </row>
    <row r="89" customFormat="false" ht="15" hidden="false" customHeight="false" outlineLevel="0" collapsed="false">
      <c r="A89" s="24" t="n">
        <v>86</v>
      </c>
      <c r="B89" s="25" t="str">
        <f aca="true">IF(C89="","",IF(E89="","",IFERROR("BTM-"&amp;LEFT(C89,3)&amp;"-"&amp;E89&amp;"-"&amp;TEXT(TODAY(),"YY")&amp;"-"&amp;TEXT(A89,"000"),"")))</f>
        <v/>
      </c>
      <c r="C89" s="26"/>
      <c r="D89" s="26"/>
      <c r="E89" s="26"/>
      <c r="F89" s="26"/>
      <c r="G89" s="26"/>
      <c r="H89" s="26"/>
      <c r="I89" s="26"/>
      <c r="J89" s="27" t="str">
        <f aca="false">IF(F89="","",IF(I89="","",F89*I89))</f>
        <v/>
      </c>
      <c r="K89" s="26"/>
      <c r="L89" s="26"/>
      <c r="M89" s="27" t="str">
        <f aca="false">IF(OR(J89="",L89="",K89=""),"",IFERROR((J89-K89-IF(O89="Adjust in Plan",N89,0))/L89,"-"))</f>
        <v/>
      </c>
      <c r="N89" s="28"/>
      <c r="O89" s="28"/>
      <c r="P89" s="27" t="n">
        <f aca="false">IFERROR(SUMIF(INSTALMENTS!$C:$C,B89,INSTALMENTS!$I:$I),0)</f>
        <v>0</v>
      </c>
      <c r="Q89" s="27" t="str">
        <f aca="false">IF(J89="","",J89-P89)</f>
        <v/>
      </c>
      <c r="R89" s="25" t="str">
        <f aca="true">IF(J89="","",IF(Q89&lt;=0,"✅ Completed",IF(IFERROR(SUMPRODUCT((INSTALMENTS!$C:$C=B89)*(INSTALMENTS!$F:$F&lt;TODAY())*(INSTALMENTS!$I:$I&lt;INSTALMENTS!$H:$H)),0)&gt;0,"🔴 Overdue","🟢 Active")))</f>
        <v/>
      </c>
      <c r="S89" s="26"/>
      <c r="T89" s="26"/>
      <c r="U89" s="26"/>
      <c r="V89" s="26"/>
      <c r="W89" s="26"/>
      <c r="X89" s="29"/>
      <c r="Y89" s="29"/>
      <c r="Z89" s="29"/>
      <c r="AA89" s="29"/>
      <c r="AB89" s="29"/>
      <c r="AC89" s="29"/>
      <c r="AD89" s="30"/>
      <c r="AE89" s="30"/>
      <c r="AF89" s="30"/>
      <c r="AG89" s="30"/>
      <c r="AH89" s="31"/>
      <c r="AI89" s="31"/>
      <c r="AJ89" s="31"/>
      <c r="AK89" s="31"/>
      <c r="AL89" s="31"/>
      <c r="AM89" s="31"/>
      <c r="AN89" s="26"/>
      <c r="AO89" s="26"/>
      <c r="AP89" s="26"/>
      <c r="AQ89" s="26"/>
      <c r="AR89" s="26"/>
      <c r="AS89" s="26"/>
      <c r="AT89" s="26"/>
      <c r="AU89" s="26"/>
      <c r="AV89" s="32"/>
    </row>
    <row r="90" customFormat="false" ht="15" hidden="false" customHeight="false" outlineLevel="0" collapsed="false">
      <c r="A90" s="24" t="n">
        <v>87</v>
      </c>
      <c r="B90" s="25" t="str">
        <f aca="true">IF(C90="","",IF(E90="","",IFERROR("BTM-"&amp;LEFT(C90,3)&amp;"-"&amp;E90&amp;"-"&amp;TEXT(TODAY(),"YY")&amp;"-"&amp;TEXT(A90,"000"),"")))</f>
        <v/>
      </c>
      <c r="C90" s="26"/>
      <c r="D90" s="26"/>
      <c r="E90" s="26"/>
      <c r="F90" s="26"/>
      <c r="G90" s="26"/>
      <c r="H90" s="26"/>
      <c r="I90" s="26"/>
      <c r="J90" s="27" t="str">
        <f aca="false">IF(F90="","",IF(I90="","",F90*I90))</f>
        <v/>
      </c>
      <c r="K90" s="26"/>
      <c r="L90" s="26"/>
      <c r="M90" s="27" t="str">
        <f aca="false">IF(OR(J90="",L90="",K90=""),"",IFERROR((J90-K90-IF(O90="Adjust in Plan",N90,0))/L90,"-"))</f>
        <v/>
      </c>
      <c r="N90" s="28"/>
      <c r="O90" s="28"/>
      <c r="P90" s="27" t="n">
        <f aca="false">IFERROR(SUMIF(INSTALMENTS!$C:$C,B90,INSTALMENTS!$I:$I),0)</f>
        <v>0</v>
      </c>
      <c r="Q90" s="27" t="str">
        <f aca="false">IF(J90="","",J90-P90)</f>
        <v/>
      </c>
      <c r="R90" s="25" t="str">
        <f aca="true">IF(J90="","",IF(Q90&lt;=0,"✅ Completed",IF(IFERROR(SUMPRODUCT((INSTALMENTS!$C:$C=B90)*(INSTALMENTS!$F:$F&lt;TODAY())*(INSTALMENTS!$I:$I&lt;INSTALMENTS!$H:$H)),0)&gt;0,"🔴 Overdue","🟢 Active")))</f>
        <v/>
      </c>
      <c r="S90" s="26"/>
      <c r="T90" s="26"/>
      <c r="U90" s="26"/>
      <c r="V90" s="26"/>
      <c r="W90" s="26"/>
      <c r="X90" s="29"/>
      <c r="Y90" s="29"/>
      <c r="Z90" s="29"/>
      <c r="AA90" s="29"/>
      <c r="AB90" s="29"/>
      <c r="AC90" s="29"/>
      <c r="AD90" s="30"/>
      <c r="AE90" s="30"/>
      <c r="AF90" s="30"/>
      <c r="AG90" s="30"/>
      <c r="AH90" s="31"/>
      <c r="AI90" s="31"/>
      <c r="AJ90" s="31"/>
      <c r="AK90" s="31"/>
      <c r="AL90" s="31"/>
      <c r="AM90" s="31"/>
      <c r="AN90" s="26"/>
      <c r="AO90" s="26"/>
      <c r="AP90" s="26"/>
      <c r="AQ90" s="26"/>
      <c r="AR90" s="26"/>
      <c r="AS90" s="26"/>
      <c r="AT90" s="26"/>
      <c r="AU90" s="26"/>
      <c r="AV90" s="32"/>
    </row>
    <row r="91" customFormat="false" ht="15" hidden="false" customHeight="false" outlineLevel="0" collapsed="false">
      <c r="A91" s="24" t="n">
        <v>88</v>
      </c>
      <c r="B91" s="25" t="str">
        <f aca="true">IF(C91="","",IF(E91="","",IFERROR("BTM-"&amp;LEFT(C91,3)&amp;"-"&amp;E91&amp;"-"&amp;TEXT(TODAY(),"YY")&amp;"-"&amp;TEXT(A91,"000"),"")))</f>
        <v/>
      </c>
      <c r="C91" s="26"/>
      <c r="D91" s="26"/>
      <c r="E91" s="26"/>
      <c r="F91" s="26"/>
      <c r="G91" s="26"/>
      <c r="H91" s="26"/>
      <c r="I91" s="26"/>
      <c r="J91" s="27" t="str">
        <f aca="false">IF(F91="","",IF(I91="","",F91*I91))</f>
        <v/>
      </c>
      <c r="K91" s="26"/>
      <c r="L91" s="26"/>
      <c r="M91" s="27" t="str">
        <f aca="false">IF(OR(J91="",L91="",K91=""),"",IFERROR((J91-K91-IF(O91="Adjust in Plan",N91,0))/L91,"-"))</f>
        <v/>
      </c>
      <c r="N91" s="28"/>
      <c r="O91" s="28"/>
      <c r="P91" s="27" t="n">
        <f aca="false">IFERROR(SUMIF(INSTALMENTS!$C:$C,B91,INSTALMENTS!$I:$I),0)</f>
        <v>0</v>
      </c>
      <c r="Q91" s="27" t="str">
        <f aca="false">IF(J91="","",J91-P91)</f>
        <v/>
      </c>
      <c r="R91" s="25" t="str">
        <f aca="true">IF(J91="","",IF(Q91&lt;=0,"✅ Completed",IF(IFERROR(SUMPRODUCT((INSTALMENTS!$C:$C=B91)*(INSTALMENTS!$F:$F&lt;TODAY())*(INSTALMENTS!$I:$I&lt;INSTALMENTS!$H:$H)),0)&gt;0,"🔴 Overdue","🟢 Active")))</f>
        <v/>
      </c>
      <c r="S91" s="26"/>
      <c r="T91" s="26"/>
      <c r="U91" s="26"/>
      <c r="V91" s="26"/>
      <c r="W91" s="26"/>
      <c r="X91" s="29"/>
      <c r="Y91" s="29"/>
      <c r="Z91" s="29"/>
      <c r="AA91" s="29"/>
      <c r="AB91" s="29"/>
      <c r="AC91" s="29"/>
      <c r="AD91" s="30"/>
      <c r="AE91" s="30"/>
      <c r="AF91" s="30"/>
      <c r="AG91" s="30"/>
      <c r="AH91" s="31"/>
      <c r="AI91" s="31"/>
      <c r="AJ91" s="31"/>
      <c r="AK91" s="31"/>
      <c r="AL91" s="31"/>
      <c r="AM91" s="31"/>
      <c r="AN91" s="26"/>
      <c r="AO91" s="26"/>
      <c r="AP91" s="26"/>
      <c r="AQ91" s="26"/>
      <c r="AR91" s="26"/>
      <c r="AS91" s="26"/>
      <c r="AT91" s="26"/>
      <c r="AU91" s="26"/>
      <c r="AV91" s="32"/>
    </row>
    <row r="92" customFormat="false" ht="15" hidden="false" customHeight="false" outlineLevel="0" collapsed="false">
      <c r="A92" s="24" t="n">
        <v>89</v>
      </c>
      <c r="B92" s="25" t="str">
        <f aca="true">IF(C92="","",IF(E92="","",IFERROR("BTM-"&amp;LEFT(C92,3)&amp;"-"&amp;E92&amp;"-"&amp;TEXT(TODAY(),"YY")&amp;"-"&amp;TEXT(A92,"000"),"")))</f>
        <v/>
      </c>
      <c r="C92" s="26"/>
      <c r="D92" s="26"/>
      <c r="E92" s="26"/>
      <c r="F92" s="26"/>
      <c r="G92" s="26"/>
      <c r="H92" s="26"/>
      <c r="I92" s="26"/>
      <c r="J92" s="27" t="str">
        <f aca="false">IF(F92="","",IF(I92="","",F92*I92))</f>
        <v/>
      </c>
      <c r="K92" s="26"/>
      <c r="L92" s="26"/>
      <c r="M92" s="27" t="str">
        <f aca="false">IF(OR(J92="",L92="",K92=""),"",IFERROR((J92-K92-IF(O92="Adjust in Plan",N92,0))/L92,"-"))</f>
        <v/>
      </c>
      <c r="N92" s="28"/>
      <c r="O92" s="28"/>
      <c r="P92" s="27" t="n">
        <f aca="false">IFERROR(SUMIF(INSTALMENTS!$C:$C,B92,INSTALMENTS!$I:$I),0)</f>
        <v>0</v>
      </c>
      <c r="Q92" s="27" t="str">
        <f aca="false">IF(J92="","",J92-P92)</f>
        <v/>
      </c>
      <c r="R92" s="25" t="str">
        <f aca="true">IF(J92="","",IF(Q92&lt;=0,"✅ Completed",IF(IFERROR(SUMPRODUCT((INSTALMENTS!$C:$C=B92)*(INSTALMENTS!$F:$F&lt;TODAY())*(INSTALMENTS!$I:$I&lt;INSTALMENTS!$H:$H)),0)&gt;0,"🔴 Overdue","🟢 Active")))</f>
        <v/>
      </c>
      <c r="S92" s="26"/>
      <c r="T92" s="26"/>
      <c r="U92" s="26"/>
      <c r="V92" s="26"/>
      <c r="W92" s="26"/>
      <c r="X92" s="29"/>
      <c r="Y92" s="29"/>
      <c r="Z92" s="29"/>
      <c r="AA92" s="29"/>
      <c r="AB92" s="29"/>
      <c r="AC92" s="29"/>
      <c r="AD92" s="30"/>
      <c r="AE92" s="30"/>
      <c r="AF92" s="30"/>
      <c r="AG92" s="30"/>
      <c r="AH92" s="31"/>
      <c r="AI92" s="31"/>
      <c r="AJ92" s="31"/>
      <c r="AK92" s="31"/>
      <c r="AL92" s="31"/>
      <c r="AM92" s="31"/>
      <c r="AN92" s="26"/>
      <c r="AO92" s="26"/>
      <c r="AP92" s="26"/>
      <c r="AQ92" s="26"/>
      <c r="AR92" s="26"/>
      <c r="AS92" s="26"/>
      <c r="AT92" s="26"/>
      <c r="AU92" s="26"/>
      <c r="AV92" s="32"/>
    </row>
    <row r="93" customFormat="false" ht="15" hidden="false" customHeight="false" outlineLevel="0" collapsed="false">
      <c r="A93" s="24" t="n">
        <v>90</v>
      </c>
      <c r="B93" s="25" t="str">
        <f aca="true">IF(C93="","",IF(E93="","",IFERROR("BTM-"&amp;LEFT(C93,3)&amp;"-"&amp;E93&amp;"-"&amp;TEXT(TODAY(),"YY")&amp;"-"&amp;TEXT(A93,"000"),"")))</f>
        <v/>
      </c>
      <c r="C93" s="26"/>
      <c r="D93" s="26"/>
      <c r="E93" s="26"/>
      <c r="F93" s="26"/>
      <c r="G93" s="26"/>
      <c r="H93" s="26"/>
      <c r="I93" s="26"/>
      <c r="J93" s="27" t="str">
        <f aca="false">IF(F93="","",IF(I93="","",F93*I93))</f>
        <v/>
      </c>
      <c r="K93" s="26"/>
      <c r="L93" s="26"/>
      <c r="M93" s="27" t="str">
        <f aca="false">IF(OR(J93="",L93="",K93=""),"",IFERROR((J93-K93-IF(O93="Adjust in Plan",N93,0))/L93,"-"))</f>
        <v/>
      </c>
      <c r="N93" s="28"/>
      <c r="O93" s="28"/>
      <c r="P93" s="27" t="n">
        <f aca="false">IFERROR(SUMIF(INSTALMENTS!$C:$C,B93,INSTALMENTS!$I:$I),0)</f>
        <v>0</v>
      </c>
      <c r="Q93" s="27" t="str">
        <f aca="false">IF(J93="","",J93-P93)</f>
        <v/>
      </c>
      <c r="R93" s="25" t="str">
        <f aca="true">IF(J93="","",IF(Q93&lt;=0,"✅ Completed",IF(IFERROR(SUMPRODUCT((INSTALMENTS!$C:$C=B93)*(INSTALMENTS!$F:$F&lt;TODAY())*(INSTALMENTS!$I:$I&lt;INSTALMENTS!$H:$H)),0)&gt;0,"🔴 Overdue","🟢 Active")))</f>
        <v/>
      </c>
      <c r="S93" s="26"/>
      <c r="T93" s="26"/>
      <c r="U93" s="26"/>
      <c r="V93" s="26"/>
      <c r="W93" s="26"/>
      <c r="X93" s="29"/>
      <c r="Y93" s="29"/>
      <c r="Z93" s="29"/>
      <c r="AA93" s="29"/>
      <c r="AB93" s="29"/>
      <c r="AC93" s="29"/>
      <c r="AD93" s="30"/>
      <c r="AE93" s="30"/>
      <c r="AF93" s="30"/>
      <c r="AG93" s="30"/>
      <c r="AH93" s="31"/>
      <c r="AI93" s="31"/>
      <c r="AJ93" s="31"/>
      <c r="AK93" s="31"/>
      <c r="AL93" s="31"/>
      <c r="AM93" s="31"/>
      <c r="AN93" s="26"/>
      <c r="AO93" s="26"/>
      <c r="AP93" s="26"/>
      <c r="AQ93" s="26"/>
      <c r="AR93" s="26"/>
      <c r="AS93" s="26"/>
      <c r="AT93" s="26"/>
      <c r="AU93" s="26"/>
      <c r="AV93" s="32"/>
    </row>
    <row r="94" customFormat="false" ht="15" hidden="false" customHeight="false" outlineLevel="0" collapsed="false">
      <c r="A94" s="24" t="n">
        <v>91</v>
      </c>
      <c r="B94" s="25" t="str">
        <f aca="true">IF(C94="","",IF(E94="","",IFERROR("BTM-"&amp;LEFT(C94,3)&amp;"-"&amp;E94&amp;"-"&amp;TEXT(TODAY(),"YY")&amp;"-"&amp;TEXT(A94,"000"),"")))</f>
        <v/>
      </c>
      <c r="C94" s="26"/>
      <c r="D94" s="26"/>
      <c r="E94" s="26"/>
      <c r="F94" s="26"/>
      <c r="G94" s="26"/>
      <c r="H94" s="26"/>
      <c r="I94" s="26"/>
      <c r="J94" s="27" t="str">
        <f aca="false">IF(F94="","",IF(I94="","",F94*I94))</f>
        <v/>
      </c>
      <c r="K94" s="26"/>
      <c r="L94" s="26"/>
      <c r="M94" s="27" t="str">
        <f aca="false">IF(OR(J94="",L94="",K94=""),"",IFERROR((J94-K94-IF(O94="Adjust in Plan",N94,0))/L94,"-"))</f>
        <v/>
      </c>
      <c r="N94" s="28"/>
      <c r="O94" s="28"/>
      <c r="P94" s="27" t="n">
        <f aca="false">IFERROR(SUMIF(INSTALMENTS!$C:$C,B94,INSTALMENTS!$I:$I),0)</f>
        <v>0</v>
      </c>
      <c r="Q94" s="27" t="str">
        <f aca="false">IF(J94="","",J94-P94)</f>
        <v/>
      </c>
      <c r="R94" s="25" t="str">
        <f aca="true">IF(J94="","",IF(Q94&lt;=0,"✅ Completed",IF(IFERROR(SUMPRODUCT((INSTALMENTS!$C:$C=B94)*(INSTALMENTS!$F:$F&lt;TODAY())*(INSTALMENTS!$I:$I&lt;INSTALMENTS!$H:$H)),0)&gt;0,"🔴 Overdue","🟢 Active")))</f>
        <v/>
      </c>
      <c r="S94" s="26"/>
      <c r="T94" s="26"/>
      <c r="U94" s="26"/>
      <c r="V94" s="26"/>
      <c r="W94" s="26"/>
      <c r="X94" s="29"/>
      <c r="Y94" s="29"/>
      <c r="Z94" s="29"/>
      <c r="AA94" s="29"/>
      <c r="AB94" s="29"/>
      <c r="AC94" s="29"/>
      <c r="AD94" s="30"/>
      <c r="AE94" s="30"/>
      <c r="AF94" s="30"/>
      <c r="AG94" s="30"/>
      <c r="AH94" s="31"/>
      <c r="AI94" s="31"/>
      <c r="AJ94" s="31"/>
      <c r="AK94" s="31"/>
      <c r="AL94" s="31"/>
      <c r="AM94" s="31"/>
      <c r="AN94" s="26"/>
      <c r="AO94" s="26"/>
      <c r="AP94" s="26"/>
      <c r="AQ94" s="26"/>
      <c r="AR94" s="26"/>
      <c r="AS94" s="26"/>
      <c r="AT94" s="26"/>
      <c r="AU94" s="26"/>
      <c r="AV94" s="32"/>
    </row>
    <row r="95" customFormat="false" ht="15" hidden="false" customHeight="false" outlineLevel="0" collapsed="false">
      <c r="A95" s="24" t="n">
        <v>92</v>
      </c>
      <c r="B95" s="25" t="str">
        <f aca="true">IF(C95="","",IF(E95="","",IFERROR("BTM-"&amp;LEFT(C95,3)&amp;"-"&amp;E95&amp;"-"&amp;TEXT(TODAY(),"YY")&amp;"-"&amp;TEXT(A95,"000"),"")))</f>
        <v/>
      </c>
      <c r="C95" s="26"/>
      <c r="D95" s="26"/>
      <c r="E95" s="26"/>
      <c r="F95" s="26"/>
      <c r="G95" s="26"/>
      <c r="H95" s="26"/>
      <c r="I95" s="26"/>
      <c r="J95" s="27" t="str">
        <f aca="false">IF(F95="","",IF(I95="","",F95*I95))</f>
        <v/>
      </c>
      <c r="K95" s="26"/>
      <c r="L95" s="26"/>
      <c r="M95" s="27" t="str">
        <f aca="false">IF(OR(J95="",L95="",K95=""),"",IFERROR((J95-K95-IF(O95="Adjust in Plan",N95,0))/L95,"-"))</f>
        <v/>
      </c>
      <c r="N95" s="28"/>
      <c r="O95" s="28"/>
      <c r="P95" s="27" t="n">
        <f aca="false">IFERROR(SUMIF(INSTALMENTS!$C:$C,B95,INSTALMENTS!$I:$I),0)</f>
        <v>0</v>
      </c>
      <c r="Q95" s="27" t="str">
        <f aca="false">IF(J95="","",J95-P95)</f>
        <v/>
      </c>
      <c r="R95" s="25" t="str">
        <f aca="true">IF(J95="","",IF(Q95&lt;=0,"✅ Completed",IF(IFERROR(SUMPRODUCT((INSTALMENTS!$C:$C=B95)*(INSTALMENTS!$F:$F&lt;TODAY())*(INSTALMENTS!$I:$I&lt;INSTALMENTS!$H:$H)),0)&gt;0,"🔴 Overdue","🟢 Active")))</f>
        <v/>
      </c>
      <c r="S95" s="26"/>
      <c r="T95" s="26"/>
      <c r="U95" s="26"/>
      <c r="V95" s="26"/>
      <c r="W95" s="26"/>
      <c r="X95" s="29"/>
      <c r="Y95" s="29"/>
      <c r="Z95" s="29"/>
      <c r="AA95" s="29"/>
      <c r="AB95" s="29"/>
      <c r="AC95" s="29"/>
      <c r="AD95" s="30"/>
      <c r="AE95" s="30"/>
      <c r="AF95" s="30"/>
      <c r="AG95" s="30"/>
      <c r="AH95" s="31"/>
      <c r="AI95" s="31"/>
      <c r="AJ95" s="31"/>
      <c r="AK95" s="31"/>
      <c r="AL95" s="31"/>
      <c r="AM95" s="31"/>
      <c r="AN95" s="26"/>
      <c r="AO95" s="26"/>
      <c r="AP95" s="26"/>
      <c r="AQ95" s="26"/>
      <c r="AR95" s="26"/>
      <c r="AS95" s="26"/>
      <c r="AT95" s="26"/>
      <c r="AU95" s="26"/>
      <c r="AV95" s="32"/>
    </row>
    <row r="96" customFormat="false" ht="15" hidden="false" customHeight="false" outlineLevel="0" collapsed="false">
      <c r="A96" s="24" t="n">
        <v>93</v>
      </c>
      <c r="B96" s="25" t="str">
        <f aca="true">IF(C96="","",IF(E96="","",IFERROR("BTM-"&amp;LEFT(C96,3)&amp;"-"&amp;E96&amp;"-"&amp;TEXT(TODAY(),"YY")&amp;"-"&amp;TEXT(A96,"000"),"")))</f>
        <v/>
      </c>
      <c r="C96" s="26"/>
      <c r="D96" s="26"/>
      <c r="E96" s="26"/>
      <c r="F96" s="26"/>
      <c r="G96" s="26"/>
      <c r="H96" s="26"/>
      <c r="I96" s="26"/>
      <c r="J96" s="27" t="str">
        <f aca="false">IF(F96="","",IF(I96="","",F96*I96))</f>
        <v/>
      </c>
      <c r="K96" s="26"/>
      <c r="L96" s="26"/>
      <c r="M96" s="27" t="str">
        <f aca="false">IF(OR(J96="",L96="",K96=""),"",IFERROR((J96-K96-IF(O96="Adjust in Plan",N96,0))/L96,"-"))</f>
        <v/>
      </c>
      <c r="N96" s="28"/>
      <c r="O96" s="28"/>
      <c r="P96" s="27" t="n">
        <f aca="false">IFERROR(SUMIF(INSTALMENTS!$C:$C,B96,INSTALMENTS!$I:$I),0)</f>
        <v>0</v>
      </c>
      <c r="Q96" s="27" t="str">
        <f aca="false">IF(J96="","",J96-P96)</f>
        <v/>
      </c>
      <c r="R96" s="25" t="str">
        <f aca="true">IF(J96="","",IF(Q96&lt;=0,"✅ Completed",IF(IFERROR(SUMPRODUCT((INSTALMENTS!$C:$C=B96)*(INSTALMENTS!$F:$F&lt;TODAY())*(INSTALMENTS!$I:$I&lt;INSTALMENTS!$H:$H)),0)&gt;0,"🔴 Overdue","🟢 Active")))</f>
        <v/>
      </c>
      <c r="S96" s="26"/>
      <c r="T96" s="26"/>
      <c r="U96" s="26"/>
      <c r="V96" s="26"/>
      <c r="W96" s="26"/>
      <c r="X96" s="29"/>
      <c r="Y96" s="29"/>
      <c r="Z96" s="29"/>
      <c r="AA96" s="29"/>
      <c r="AB96" s="29"/>
      <c r="AC96" s="29"/>
      <c r="AD96" s="30"/>
      <c r="AE96" s="30"/>
      <c r="AF96" s="30"/>
      <c r="AG96" s="30"/>
      <c r="AH96" s="31"/>
      <c r="AI96" s="31"/>
      <c r="AJ96" s="31"/>
      <c r="AK96" s="31"/>
      <c r="AL96" s="31"/>
      <c r="AM96" s="31"/>
      <c r="AN96" s="26"/>
      <c r="AO96" s="26"/>
      <c r="AP96" s="26"/>
      <c r="AQ96" s="26"/>
      <c r="AR96" s="26"/>
      <c r="AS96" s="26"/>
      <c r="AT96" s="26"/>
      <c r="AU96" s="26"/>
      <c r="AV96" s="32"/>
    </row>
    <row r="97" customFormat="false" ht="15" hidden="false" customHeight="false" outlineLevel="0" collapsed="false">
      <c r="A97" s="24" t="n">
        <v>94</v>
      </c>
      <c r="B97" s="25" t="str">
        <f aca="true">IF(C97="","",IF(E97="","",IFERROR("BTM-"&amp;LEFT(C97,3)&amp;"-"&amp;E97&amp;"-"&amp;TEXT(TODAY(),"YY")&amp;"-"&amp;TEXT(A97,"000"),"")))</f>
        <v/>
      </c>
      <c r="C97" s="26"/>
      <c r="D97" s="26"/>
      <c r="E97" s="26"/>
      <c r="F97" s="26"/>
      <c r="G97" s="26"/>
      <c r="H97" s="26"/>
      <c r="I97" s="26"/>
      <c r="J97" s="27" t="str">
        <f aca="false">IF(F97="","",IF(I97="","",F97*I97))</f>
        <v/>
      </c>
      <c r="K97" s="26"/>
      <c r="L97" s="26"/>
      <c r="M97" s="27" t="str">
        <f aca="false">IF(OR(J97="",L97="",K97=""),"",IFERROR((J97-K97-IF(O97="Adjust in Plan",N97,0))/L97,"-"))</f>
        <v/>
      </c>
      <c r="N97" s="28"/>
      <c r="O97" s="28"/>
      <c r="P97" s="27" t="n">
        <f aca="false">IFERROR(SUMIF(INSTALMENTS!$C:$C,B97,INSTALMENTS!$I:$I),0)</f>
        <v>0</v>
      </c>
      <c r="Q97" s="27" t="str">
        <f aca="false">IF(J97="","",J97-P97)</f>
        <v/>
      </c>
      <c r="R97" s="25" t="str">
        <f aca="true">IF(J97="","",IF(Q97&lt;=0,"✅ Completed",IF(IFERROR(SUMPRODUCT((INSTALMENTS!$C:$C=B97)*(INSTALMENTS!$F:$F&lt;TODAY())*(INSTALMENTS!$I:$I&lt;INSTALMENTS!$H:$H)),0)&gt;0,"🔴 Overdue","🟢 Active")))</f>
        <v/>
      </c>
      <c r="S97" s="26"/>
      <c r="T97" s="26"/>
      <c r="U97" s="26"/>
      <c r="V97" s="26"/>
      <c r="W97" s="26"/>
      <c r="X97" s="29"/>
      <c r="Y97" s="29"/>
      <c r="Z97" s="29"/>
      <c r="AA97" s="29"/>
      <c r="AB97" s="29"/>
      <c r="AC97" s="29"/>
      <c r="AD97" s="30"/>
      <c r="AE97" s="30"/>
      <c r="AF97" s="30"/>
      <c r="AG97" s="30"/>
      <c r="AH97" s="31"/>
      <c r="AI97" s="31"/>
      <c r="AJ97" s="31"/>
      <c r="AK97" s="31"/>
      <c r="AL97" s="31"/>
      <c r="AM97" s="31"/>
      <c r="AN97" s="26"/>
      <c r="AO97" s="26"/>
      <c r="AP97" s="26"/>
      <c r="AQ97" s="26"/>
      <c r="AR97" s="26"/>
      <c r="AS97" s="26"/>
      <c r="AT97" s="26"/>
      <c r="AU97" s="26"/>
      <c r="AV97" s="32"/>
    </row>
    <row r="98" customFormat="false" ht="15" hidden="false" customHeight="false" outlineLevel="0" collapsed="false">
      <c r="A98" s="24" t="n">
        <v>95</v>
      </c>
      <c r="B98" s="25" t="str">
        <f aca="true">IF(C98="","",IF(E98="","",IFERROR("BTM-"&amp;LEFT(C98,3)&amp;"-"&amp;E98&amp;"-"&amp;TEXT(TODAY(),"YY")&amp;"-"&amp;TEXT(A98,"000"),"")))</f>
        <v/>
      </c>
      <c r="C98" s="26"/>
      <c r="D98" s="26"/>
      <c r="E98" s="26"/>
      <c r="F98" s="26"/>
      <c r="G98" s="26"/>
      <c r="H98" s="26"/>
      <c r="I98" s="26"/>
      <c r="J98" s="27" t="str">
        <f aca="false">IF(F98="","",IF(I98="","",F98*I98))</f>
        <v/>
      </c>
      <c r="K98" s="26"/>
      <c r="L98" s="26"/>
      <c r="M98" s="27" t="str">
        <f aca="false">IF(OR(J98="",L98="",K98=""),"",IFERROR((J98-K98-IF(O98="Adjust in Plan",N98,0))/L98,"-"))</f>
        <v/>
      </c>
      <c r="N98" s="28"/>
      <c r="O98" s="28"/>
      <c r="P98" s="27" t="n">
        <f aca="false">IFERROR(SUMIF(INSTALMENTS!$C:$C,B98,INSTALMENTS!$I:$I),0)</f>
        <v>0</v>
      </c>
      <c r="Q98" s="27" t="str">
        <f aca="false">IF(J98="","",J98-P98)</f>
        <v/>
      </c>
      <c r="R98" s="25" t="str">
        <f aca="true">IF(J98="","",IF(Q98&lt;=0,"✅ Completed",IF(IFERROR(SUMPRODUCT((INSTALMENTS!$C:$C=B98)*(INSTALMENTS!$F:$F&lt;TODAY())*(INSTALMENTS!$I:$I&lt;INSTALMENTS!$H:$H)),0)&gt;0,"🔴 Overdue","🟢 Active")))</f>
        <v/>
      </c>
      <c r="S98" s="26"/>
      <c r="T98" s="26"/>
      <c r="U98" s="26"/>
      <c r="V98" s="26"/>
      <c r="W98" s="26"/>
      <c r="X98" s="29"/>
      <c r="Y98" s="29"/>
      <c r="Z98" s="29"/>
      <c r="AA98" s="29"/>
      <c r="AB98" s="29"/>
      <c r="AC98" s="29"/>
      <c r="AD98" s="30"/>
      <c r="AE98" s="30"/>
      <c r="AF98" s="30"/>
      <c r="AG98" s="30"/>
      <c r="AH98" s="31"/>
      <c r="AI98" s="31"/>
      <c r="AJ98" s="31"/>
      <c r="AK98" s="31"/>
      <c r="AL98" s="31"/>
      <c r="AM98" s="31"/>
      <c r="AN98" s="26"/>
      <c r="AO98" s="26"/>
      <c r="AP98" s="26"/>
      <c r="AQ98" s="26"/>
      <c r="AR98" s="26"/>
      <c r="AS98" s="26"/>
      <c r="AT98" s="26"/>
      <c r="AU98" s="26"/>
      <c r="AV98" s="32"/>
    </row>
    <row r="99" customFormat="false" ht="15" hidden="false" customHeight="false" outlineLevel="0" collapsed="false">
      <c r="A99" s="24" t="n">
        <v>96</v>
      </c>
      <c r="B99" s="25" t="str">
        <f aca="true">IF(C99="","",IF(E99="","",IFERROR("BTM-"&amp;LEFT(C99,3)&amp;"-"&amp;E99&amp;"-"&amp;TEXT(TODAY(),"YY")&amp;"-"&amp;TEXT(A99,"000"),"")))</f>
        <v/>
      </c>
      <c r="C99" s="26"/>
      <c r="D99" s="26"/>
      <c r="E99" s="26"/>
      <c r="F99" s="26"/>
      <c r="G99" s="26"/>
      <c r="H99" s="26"/>
      <c r="I99" s="26"/>
      <c r="J99" s="27" t="str">
        <f aca="false">IF(F99="","",IF(I99="","",F99*I99))</f>
        <v/>
      </c>
      <c r="K99" s="26"/>
      <c r="L99" s="26"/>
      <c r="M99" s="27" t="str">
        <f aca="false">IF(OR(J99="",L99="",K99=""),"",IFERROR((J99-K99-IF(O99="Adjust in Plan",N99,0))/L99,"-"))</f>
        <v/>
      </c>
      <c r="N99" s="28"/>
      <c r="O99" s="28"/>
      <c r="P99" s="27" t="n">
        <f aca="false">IFERROR(SUMIF(INSTALMENTS!$C:$C,B99,INSTALMENTS!$I:$I),0)</f>
        <v>0</v>
      </c>
      <c r="Q99" s="27" t="str">
        <f aca="false">IF(J99="","",J99-P99)</f>
        <v/>
      </c>
      <c r="R99" s="25" t="str">
        <f aca="true">IF(J99="","",IF(Q99&lt;=0,"✅ Completed",IF(IFERROR(SUMPRODUCT((INSTALMENTS!$C:$C=B99)*(INSTALMENTS!$F:$F&lt;TODAY())*(INSTALMENTS!$I:$I&lt;INSTALMENTS!$H:$H)),0)&gt;0,"🔴 Overdue","🟢 Active")))</f>
        <v/>
      </c>
      <c r="S99" s="26"/>
      <c r="T99" s="26"/>
      <c r="U99" s="26"/>
      <c r="V99" s="26"/>
      <c r="W99" s="26"/>
      <c r="X99" s="29"/>
      <c r="Y99" s="29"/>
      <c r="Z99" s="29"/>
      <c r="AA99" s="29"/>
      <c r="AB99" s="29"/>
      <c r="AC99" s="29"/>
      <c r="AD99" s="30"/>
      <c r="AE99" s="30"/>
      <c r="AF99" s="30"/>
      <c r="AG99" s="30"/>
      <c r="AH99" s="31"/>
      <c r="AI99" s="31"/>
      <c r="AJ99" s="31"/>
      <c r="AK99" s="31"/>
      <c r="AL99" s="31"/>
      <c r="AM99" s="31"/>
      <c r="AN99" s="26"/>
      <c r="AO99" s="26"/>
      <c r="AP99" s="26"/>
      <c r="AQ99" s="26"/>
      <c r="AR99" s="26"/>
      <c r="AS99" s="26"/>
      <c r="AT99" s="26"/>
      <c r="AU99" s="26"/>
      <c r="AV99" s="32"/>
    </row>
    <row r="100" customFormat="false" ht="15" hidden="false" customHeight="false" outlineLevel="0" collapsed="false">
      <c r="A100" s="24" t="n">
        <v>97</v>
      </c>
      <c r="B100" s="25" t="str">
        <f aca="true">IF(C100="","",IF(E100="","",IFERROR("BTM-"&amp;LEFT(C100,3)&amp;"-"&amp;E100&amp;"-"&amp;TEXT(TODAY(),"YY")&amp;"-"&amp;TEXT(A100,"000"),"")))</f>
        <v/>
      </c>
      <c r="C100" s="26"/>
      <c r="D100" s="26"/>
      <c r="E100" s="26"/>
      <c r="F100" s="26"/>
      <c r="G100" s="26"/>
      <c r="H100" s="26"/>
      <c r="I100" s="26"/>
      <c r="J100" s="27" t="str">
        <f aca="false">IF(F100="","",IF(I100="","",F100*I100))</f>
        <v/>
      </c>
      <c r="K100" s="26"/>
      <c r="L100" s="26"/>
      <c r="M100" s="27" t="str">
        <f aca="false">IF(OR(J100="",L100="",K100=""),"",IFERROR((J100-K100-IF(O100="Adjust in Plan",N100,0))/L100,"-"))</f>
        <v/>
      </c>
      <c r="N100" s="28"/>
      <c r="O100" s="28"/>
      <c r="P100" s="27" t="n">
        <f aca="false">IFERROR(SUMIF(INSTALMENTS!$C:$C,B100,INSTALMENTS!$I:$I),0)</f>
        <v>0</v>
      </c>
      <c r="Q100" s="27" t="str">
        <f aca="false">IF(J100="","",J100-P100)</f>
        <v/>
      </c>
      <c r="R100" s="25" t="str">
        <f aca="true">IF(J100="","",IF(Q100&lt;=0,"✅ Completed",IF(IFERROR(SUMPRODUCT((INSTALMENTS!$C:$C=B100)*(INSTALMENTS!$F:$F&lt;TODAY())*(INSTALMENTS!$I:$I&lt;INSTALMENTS!$H:$H)),0)&gt;0,"🔴 Overdue","🟢 Active")))</f>
        <v/>
      </c>
      <c r="S100" s="26"/>
      <c r="T100" s="26"/>
      <c r="U100" s="26"/>
      <c r="V100" s="26"/>
      <c r="W100" s="26"/>
      <c r="X100" s="29"/>
      <c r="Y100" s="29"/>
      <c r="Z100" s="29"/>
      <c r="AA100" s="29"/>
      <c r="AB100" s="29"/>
      <c r="AC100" s="29"/>
      <c r="AD100" s="30"/>
      <c r="AE100" s="30"/>
      <c r="AF100" s="30"/>
      <c r="AG100" s="30"/>
      <c r="AH100" s="31"/>
      <c r="AI100" s="31"/>
      <c r="AJ100" s="31"/>
      <c r="AK100" s="31"/>
      <c r="AL100" s="31"/>
      <c r="AM100" s="31"/>
      <c r="AN100" s="26"/>
      <c r="AO100" s="26"/>
      <c r="AP100" s="26"/>
      <c r="AQ100" s="26"/>
      <c r="AR100" s="26"/>
      <c r="AS100" s="26"/>
      <c r="AT100" s="26"/>
      <c r="AU100" s="26"/>
      <c r="AV100" s="32"/>
    </row>
    <row r="101" customFormat="false" ht="15" hidden="false" customHeight="false" outlineLevel="0" collapsed="false">
      <c r="A101" s="24" t="n">
        <v>98</v>
      </c>
      <c r="B101" s="25" t="str">
        <f aca="true">IF(C101="","",IF(E101="","",IFERROR("BTM-"&amp;LEFT(C101,3)&amp;"-"&amp;E101&amp;"-"&amp;TEXT(TODAY(),"YY")&amp;"-"&amp;TEXT(A101,"000"),"")))</f>
        <v/>
      </c>
      <c r="C101" s="26"/>
      <c r="D101" s="26"/>
      <c r="E101" s="26"/>
      <c r="F101" s="26"/>
      <c r="G101" s="26"/>
      <c r="H101" s="26"/>
      <c r="I101" s="26"/>
      <c r="J101" s="27" t="str">
        <f aca="false">IF(F101="","",IF(I101="","",F101*I101))</f>
        <v/>
      </c>
      <c r="K101" s="26"/>
      <c r="L101" s="26"/>
      <c r="M101" s="27" t="str">
        <f aca="false">IF(OR(J101="",L101="",K101=""),"",IFERROR((J101-K101-IF(O101="Adjust in Plan",N101,0))/L101,"-"))</f>
        <v/>
      </c>
      <c r="N101" s="28"/>
      <c r="O101" s="28"/>
      <c r="P101" s="27" t="n">
        <f aca="false">IFERROR(SUMIF(INSTALMENTS!$C:$C,B101,INSTALMENTS!$I:$I),0)</f>
        <v>0</v>
      </c>
      <c r="Q101" s="27" t="str">
        <f aca="false">IF(J101="","",J101-P101)</f>
        <v/>
      </c>
      <c r="R101" s="25" t="str">
        <f aca="true">IF(J101="","",IF(Q101&lt;=0,"✅ Completed",IF(IFERROR(SUMPRODUCT((INSTALMENTS!$C:$C=B101)*(INSTALMENTS!$F:$F&lt;TODAY())*(INSTALMENTS!$I:$I&lt;INSTALMENTS!$H:$H)),0)&gt;0,"🔴 Overdue","🟢 Active")))</f>
        <v/>
      </c>
      <c r="S101" s="26"/>
      <c r="T101" s="26"/>
      <c r="U101" s="26"/>
      <c r="V101" s="26"/>
      <c r="W101" s="26"/>
      <c r="X101" s="29"/>
      <c r="Y101" s="29"/>
      <c r="Z101" s="29"/>
      <c r="AA101" s="29"/>
      <c r="AB101" s="29"/>
      <c r="AC101" s="29"/>
      <c r="AD101" s="30"/>
      <c r="AE101" s="30"/>
      <c r="AF101" s="30"/>
      <c r="AG101" s="30"/>
      <c r="AH101" s="31"/>
      <c r="AI101" s="31"/>
      <c r="AJ101" s="31"/>
      <c r="AK101" s="31"/>
      <c r="AL101" s="31"/>
      <c r="AM101" s="31"/>
      <c r="AN101" s="26"/>
      <c r="AO101" s="26"/>
      <c r="AP101" s="26"/>
      <c r="AQ101" s="26"/>
      <c r="AR101" s="26"/>
      <c r="AS101" s="26"/>
      <c r="AT101" s="26"/>
      <c r="AU101" s="26"/>
      <c r="AV101" s="32"/>
    </row>
    <row r="102" customFormat="false" ht="15" hidden="false" customHeight="false" outlineLevel="0" collapsed="false">
      <c r="A102" s="24" t="n">
        <v>99</v>
      </c>
      <c r="B102" s="25" t="str">
        <f aca="true">IF(C102="","",IF(E102="","",IFERROR("BTM-"&amp;LEFT(C102,3)&amp;"-"&amp;E102&amp;"-"&amp;TEXT(TODAY(),"YY")&amp;"-"&amp;TEXT(A102,"000"),"")))</f>
        <v/>
      </c>
      <c r="C102" s="26"/>
      <c r="D102" s="26"/>
      <c r="E102" s="26"/>
      <c r="F102" s="26"/>
      <c r="G102" s="26"/>
      <c r="H102" s="26"/>
      <c r="I102" s="26"/>
      <c r="J102" s="27" t="str">
        <f aca="false">IF(F102="","",IF(I102="","",F102*I102))</f>
        <v/>
      </c>
      <c r="K102" s="26"/>
      <c r="L102" s="26"/>
      <c r="M102" s="27" t="str">
        <f aca="false">IF(OR(J102="",L102="",K102=""),"",IFERROR((J102-K102-IF(O102="Adjust in Plan",N102,0))/L102,"-"))</f>
        <v/>
      </c>
      <c r="N102" s="28"/>
      <c r="O102" s="28"/>
      <c r="P102" s="27" t="n">
        <f aca="false">IFERROR(SUMIF(INSTALMENTS!$C:$C,B102,INSTALMENTS!$I:$I),0)</f>
        <v>0</v>
      </c>
      <c r="Q102" s="27" t="str">
        <f aca="false">IF(J102="","",J102-P102)</f>
        <v/>
      </c>
      <c r="R102" s="25" t="str">
        <f aca="true">IF(J102="","",IF(Q102&lt;=0,"✅ Completed",IF(IFERROR(SUMPRODUCT((INSTALMENTS!$C:$C=B102)*(INSTALMENTS!$F:$F&lt;TODAY())*(INSTALMENTS!$I:$I&lt;INSTALMENTS!$H:$H)),0)&gt;0,"🔴 Overdue","🟢 Active")))</f>
        <v/>
      </c>
      <c r="S102" s="26"/>
      <c r="T102" s="26"/>
      <c r="U102" s="26"/>
      <c r="V102" s="26"/>
      <c r="W102" s="26"/>
      <c r="X102" s="29"/>
      <c r="Y102" s="29"/>
      <c r="Z102" s="29"/>
      <c r="AA102" s="29"/>
      <c r="AB102" s="29"/>
      <c r="AC102" s="29"/>
      <c r="AD102" s="30"/>
      <c r="AE102" s="30"/>
      <c r="AF102" s="30"/>
      <c r="AG102" s="30"/>
      <c r="AH102" s="31"/>
      <c r="AI102" s="31"/>
      <c r="AJ102" s="31"/>
      <c r="AK102" s="31"/>
      <c r="AL102" s="31"/>
      <c r="AM102" s="31"/>
      <c r="AN102" s="26"/>
      <c r="AO102" s="26"/>
      <c r="AP102" s="26"/>
      <c r="AQ102" s="26"/>
      <c r="AR102" s="26"/>
      <c r="AS102" s="26"/>
      <c r="AT102" s="26"/>
      <c r="AU102" s="26"/>
      <c r="AV102" s="32"/>
    </row>
    <row r="103" customFormat="false" ht="15" hidden="false" customHeight="false" outlineLevel="0" collapsed="false">
      <c r="A103" s="24" t="n">
        <v>100</v>
      </c>
      <c r="B103" s="25" t="str">
        <f aca="true">IF(C103="","",IF(E103="","",IFERROR("BTM-"&amp;LEFT(C103,3)&amp;"-"&amp;E103&amp;"-"&amp;TEXT(TODAY(),"YY")&amp;"-"&amp;TEXT(A103,"000"),"")))</f>
        <v/>
      </c>
      <c r="C103" s="26"/>
      <c r="D103" s="26"/>
      <c r="E103" s="26"/>
      <c r="F103" s="26"/>
      <c r="G103" s="26"/>
      <c r="H103" s="26"/>
      <c r="I103" s="26"/>
      <c r="J103" s="27" t="str">
        <f aca="false">IF(F103="","",IF(I103="","",F103*I103))</f>
        <v/>
      </c>
      <c r="K103" s="26"/>
      <c r="L103" s="26"/>
      <c r="M103" s="27" t="str">
        <f aca="false">IF(OR(J103="",L103="",K103=""),"",IFERROR((J103-K103-IF(O103="Adjust in Plan",N103,0))/L103,"-"))</f>
        <v/>
      </c>
      <c r="N103" s="28"/>
      <c r="O103" s="28"/>
      <c r="P103" s="27" t="n">
        <f aca="false">IFERROR(SUMIF(INSTALMENTS!$C:$C,B103,INSTALMENTS!$I:$I),0)</f>
        <v>0</v>
      </c>
      <c r="Q103" s="27" t="str">
        <f aca="false">IF(J103="","",J103-P103)</f>
        <v/>
      </c>
      <c r="R103" s="25" t="str">
        <f aca="true">IF(J103="","",IF(Q103&lt;=0,"✅ Completed",IF(IFERROR(SUMPRODUCT((INSTALMENTS!$C:$C=B103)*(INSTALMENTS!$F:$F&lt;TODAY())*(INSTALMENTS!$I:$I&lt;INSTALMENTS!$H:$H)),0)&gt;0,"🔴 Overdue","🟢 Active")))</f>
        <v/>
      </c>
      <c r="S103" s="26"/>
      <c r="T103" s="26"/>
      <c r="U103" s="26"/>
      <c r="V103" s="26"/>
      <c r="W103" s="26"/>
      <c r="X103" s="29"/>
      <c r="Y103" s="29"/>
      <c r="Z103" s="29"/>
      <c r="AA103" s="29"/>
      <c r="AB103" s="29"/>
      <c r="AC103" s="29"/>
      <c r="AD103" s="30"/>
      <c r="AE103" s="30"/>
      <c r="AF103" s="30"/>
      <c r="AG103" s="30"/>
      <c r="AH103" s="31"/>
      <c r="AI103" s="31"/>
      <c r="AJ103" s="31"/>
      <c r="AK103" s="31"/>
      <c r="AL103" s="31"/>
      <c r="AM103" s="31"/>
      <c r="AN103" s="26"/>
      <c r="AO103" s="26"/>
      <c r="AP103" s="26"/>
      <c r="AQ103" s="26"/>
      <c r="AR103" s="26"/>
      <c r="AS103" s="26"/>
      <c r="AT103" s="26"/>
      <c r="AU103" s="26"/>
      <c r="AV103" s="32"/>
    </row>
    <row r="104" customFormat="false" ht="15" hidden="false" customHeight="false" outlineLevel="0" collapsed="false">
      <c r="A104" s="24" t="n">
        <v>101</v>
      </c>
      <c r="B104" s="25" t="str">
        <f aca="true">IF(C104="","",IF(E104="","",IFERROR("BTM-"&amp;LEFT(C104,3)&amp;"-"&amp;E104&amp;"-"&amp;TEXT(TODAY(),"YY")&amp;"-"&amp;TEXT(A104,"000"),"")))</f>
        <v/>
      </c>
      <c r="C104" s="26"/>
      <c r="D104" s="26"/>
      <c r="E104" s="26"/>
      <c r="F104" s="26"/>
      <c r="G104" s="26"/>
      <c r="H104" s="26"/>
      <c r="I104" s="26"/>
      <c r="J104" s="27" t="str">
        <f aca="false">IF(F104="","",IF(I104="","",F104*I104))</f>
        <v/>
      </c>
      <c r="K104" s="26"/>
      <c r="L104" s="26"/>
      <c r="M104" s="27" t="str">
        <f aca="false">IF(OR(J104="",L104="",K104=""),"",IFERROR((J104-K104-IF(O104="Adjust in Plan",N104,0))/L104,"-"))</f>
        <v/>
      </c>
      <c r="N104" s="28"/>
      <c r="O104" s="28"/>
      <c r="P104" s="27" t="n">
        <f aca="false">IFERROR(SUMIF(INSTALMENTS!$C:$C,B104,INSTALMENTS!$I:$I),0)</f>
        <v>0</v>
      </c>
      <c r="Q104" s="27" t="str">
        <f aca="false">IF(J104="","",J104-P104)</f>
        <v/>
      </c>
      <c r="R104" s="25" t="str">
        <f aca="true">IF(J104="","",IF(Q104&lt;=0,"✅ Completed",IF(IFERROR(SUMPRODUCT((INSTALMENTS!$C:$C=B104)*(INSTALMENTS!$F:$F&lt;TODAY())*(INSTALMENTS!$I:$I&lt;INSTALMENTS!$H:$H)),0)&gt;0,"🔴 Overdue","🟢 Active")))</f>
        <v/>
      </c>
      <c r="S104" s="26"/>
      <c r="T104" s="26"/>
      <c r="U104" s="26"/>
      <c r="V104" s="26"/>
      <c r="W104" s="26"/>
      <c r="X104" s="29"/>
      <c r="Y104" s="29"/>
      <c r="Z104" s="29"/>
      <c r="AA104" s="29"/>
      <c r="AB104" s="29"/>
      <c r="AC104" s="29"/>
      <c r="AD104" s="30"/>
      <c r="AE104" s="30"/>
      <c r="AF104" s="30"/>
      <c r="AG104" s="30"/>
      <c r="AH104" s="31"/>
      <c r="AI104" s="31"/>
      <c r="AJ104" s="31"/>
      <c r="AK104" s="31"/>
      <c r="AL104" s="31"/>
      <c r="AM104" s="31"/>
      <c r="AN104" s="26"/>
      <c r="AO104" s="26"/>
      <c r="AP104" s="26"/>
      <c r="AQ104" s="26"/>
      <c r="AR104" s="26"/>
      <c r="AS104" s="26"/>
      <c r="AT104" s="26"/>
      <c r="AU104" s="26"/>
      <c r="AV104" s="32"/>
    </row>
    <row r="105" customFormat="false" ht="15" hidden="false" customHeight="false" outlineLevel="0" collapsed="false">
      <c r="A105" s="24" t="n">
        <v>102</v>
      </c>
      <c r="B105" s="25" t="str">
        <f aca="true">IF(C105="","",IF(E105="","",IFERROR("BTM-"&amp;LEFT(C105,3)&amp;"-"&amp;E105&amp;"-"&amp;TEXT(TODAY(),"YY")&amp;"-"&amp;TEXT(A105,"000"),"")))</f>
        <v/>
      </c>
      <c r="C105" s="26"/>
      <c r="D105" s="26"/>
      <c r="E105" s="26"/>
      <c r="F105" s="26"/>
      <c r="G105" s="26"/>
      <c r="H105" s="26"/>
      <c r="I105" s="26"/>
      <c r="J105" s="27" t="str">
        <f aca="false">IF(F105="","",IF(I105="","",F105*I105))</f>
        <v/>
      </c>
      <c r="K105" s="26"/>
      <c r="L105" s="26"/>
      <c r="M105" s="27" t="str">
        <f aca="false">IF(OR(J105="",L105="",K105=""),"",IFERROR((J105-K105-IF(O105="Adjust in Plan",N105,0))/L105,"-"))</f>
        <v/>
      </c>
      <c r="N105" s="28"/>
      <c r="O105" s="28"/>
      <c r="P105" s="27" t="n">
        <f aca="false">IFERROR(SUMIF(INSTALMENTS!$C:$C,B105,INSTALMENTS!$I:$I),0)</f>
        <v>0</v>
      </c>
      <c r="Q105" s="27" t="str">
        <f aca="false">IF(J105="","",J105-P105)</f>
        <v/>
      </c>
      <c r="R105" s="25" t="str">
        <f aca="true">IF(J105="","",IF(Q105&lt;=0,"✅ Completed",IF(IFERROR(SUMPRODUCT((INSTALMENTS!$C:$C=B105)*(INSTALMENTS!$F:$F&lt;TODAY())*(INSTALMENTS!$I:$I&lt;INSTALMENTS!$H:$H)),0)&gt;0,"🔴 Overdue","🟢 Active")))</f>
        <v/>
      </c>
      <c r="S105" s="26"/>
      <c r="T105" s="26"/>
      <c r="U105" s="26"/>
      <c r="V105" s="26"/>
      <c r="W105" s="26"/>
      <c r="X105" s="29"/>
      <c r="Y105" s="29"/>
      <c r="Z105" s="29"/>
      <c r="AA105" s="29"/>
      <c r="AB105" s="29"/>
      <c r="AC105" s="29"/>
      <c r="AD105" s="30"/>
      <c r="AE105" s="30"/>
      <c r="AF105" s="30"/>
      <c r="AG105" s="30"/>
      <c r="AH105" s="31"/>
      <c r="AI105" s="31"/>
      <c r="AJ105" s="31"/>
      <c r="AK105" s="31"/>
      <c r="AL105" s="31"/>
      <c r="AM105" s="31"/>
      <c r="AN105" s="26"/>
      <c r="AO105" s="26"/>
      <c r="AP105" s="26"/>
      <c r="AQ105" s="26"/>
      <c r="AR105" s="26"/>
      <c r="AS105" s="26"/>
      <c r="AT105" s="26"/>
      <c r="AU105" s="26"/>
      <c r="AV105" s="32"/>
    </row>
    <row r="106" customFormat="false" ht="15" hidden="false" customHeight="false" outlineLevel="0" collapsed="false">
      <c r="A106" s="24" t="n">
        <v>103</v>
      </c>
      <c r="B106" s="25" t="str">
        <f aca="true">IF(C106="","",IF(E106="","",IFERROR("BTM-"&amp;LEFT(C106,3)&amp;"-"&amp;E106&amp;"-"&amp;TEXT(TODAY(),"YY")&amp;"-"&amp;TEXT(A106,"000"),"")))</f>
        <v/>
      </c>
      <c r="C106" s="26"/>
      <c r="D106" s="26"/>
      <c r="E106" s="26"/>
      <c r="F106" s="26"/>
      <c r="G106" s="26"/>
      <c r="H106" s="26"/>
      <c r="I106" s="26"/>
      <c r="J106" s="27" t="str">
        <f aca="false">IF(F106="","",IF(I106="","",F106*I106))</f>
        <v/>
      </c>
      <c r="K106" s="26"/>
      <c r="L106" s="26"/>
      <c r="M106" s="27" t="str">
        <f aca="false">IF(OR(J106="",L106="",K106=""),"",IFERROR((J106-K106-IF(O106="Adjust in Plan",N106,0))/L106,"-"))</f>
        <v/>
      </c>
      <c r="N106" s="28"/>
      <c r="O106" s="28"/>
      <c r="P106" s="27" t="n">
        <f aca="false">IFERROR(SUMIF(INSTALMENTS!$C:$C,B106,INSTALMENTS!$I:$I),0)</f>
        <v>0</v>
      </c>
      <c r="Q106" s="27" t="str">
        <f aca="false">IF(J106="","",J106-P106)</f>
        <v/>
      </c>
      <c r="R106" s="25" t="str">
        <f aca="true">IF(J106="","",IF(Q106&lt;=0,"✅ Completed",IF(IFERROR(SUMPRODUCT((INSTALMENTS!$C:$C=B106)*(INSTALMENTS!$F:$F&lt;TODAY())*(INSTALMENTS!$I:$I&lt;INSTALMENTS!$H:$H)),0)&gt;0,"🔴 Overdue","🟢 Active")))</f>
        <v/>
      </c>
      <c r="S106" s="26"/>
      <c r="T106" s="26"/>
      <c r="U106" s="26"/>
      <c r="V106" s="26"/>
      <c r="W106" s="26"/>
      <c r="X106" s="29"/>
      <c r="Y106" s="29"/>
      <c r="Z106" s="29"/>
      <c r="AA106" s="29"/>
      <c r="AB106" s="29"/>
      <c r="AC106" s="29"/>
      <c r="AD106" s="30"/>
      <c r="AE106" s="30"/>
      <c r="AF106" s="30"/>
      <c r="AG106" s="30"/>
      <c r="AH106" s="31"/>
      <c r="AI106" s="31"/>
      <c r="AJ106" s="31"/>
      <c r="AK106" s="31"/>
      <c r="AL106" s="31"/>
      <c r="AM106" s="31"/>
      <c r="AN106" s="26"/>
      <c r="AO106" s="26"/>
      <c r="AP106" s="26"/>
      <c r="AQ106" s="26"/>
      <c r="AR106" s="26"/>
      <c r="AS106" s="26"/>
      <c r="AT106" s="26"/>
      <c r="AU106" s="26"/>
      <c r="AV106" s="32"/>
    </row>
    <row r="107" customFormat="false" ht="15" hidden="false" customHeight="false" outlineLevel="0" collapsed="false">
      <c r="A107" s="24" t="n">
        <v>104</v>
      </c>
      <c r="B107" s="25" t="str">
        <f aca="true">IF(C107="","",IF(E107="","",IFERROR("BTM-"&amp;LEFT(C107,3)&amp;"-"&amp;E107&amp;"-"&amp;TEXT(TODAY(),"YY")&amp;"-"&amp;TEXT(A107,"000"),"")))</f>
        <v/>
      </c>
      <c r="C107" s="26"/>
      <c r="D107" s="26"/>
      <c r="E107" s="26"/>
      <c r="F107" s="26"/>
      <c r="G107" s="26"/>
      <c r="H107" s="26"/>
      <c r="I107" s="26"/>
      <c r="J107" s="27" t="str">
        <f aca="false">IF(F107="","",IF(I107="","",F107*I107))</f>
        <v/>
      </c>
      <c r="K107" s="26"/>
      <c r="L107" s="26"/>
      <c r="M107" s="27" t="str">
        <f aca="false">IF(OR(J107="",L107="",K107=""),"",IFERROR((J107-K107-IF(O107="Adjust in Plan",N107,0))/L107,"-"))</f>
        <v/>
      </c>
      <c r="N107" s="28"/>
      <c r="O107" s="28"/>
      <c r="P107" s="27" t="n">
        <f aca="false">IFERROR(SUMIF(INSTALMENTS!$C:$C,B107,INSTALMENTS!$I:$I),0)</f>
        <v>0</v>
      </c>
      <c r="Q107" s="27" t="str">
        <f aca="false">IF(J107="","",J107-P107)</f>
        <v/>
      </c>
      <c r="R107" s="25" t="str">
        <f aca="true">IF(J107="","",IF(Q107&lt;=0,"✅ Completed",IF(IFERROR(SUMPRODUCT((INSTALMENTS!$C:$C=B107)*(INSTALMENTS!$F:$F&lt;TODAY())*(INSTALMENTS!$I:$I&lt;INSTALMENTS!$H:$H)),0)&gt;0,"🔴 Overdue","🟢 Active")))</f>
        <v/>
      </c>
      <c r="S107" s="26"/>
      <c r="T107" s="26"/>
      <c r="U107" s="26"/>
      <c r="V107" s="26"/>
      <c r="W107" s="26"/>
      <c r="X107" s="29"/>
      <c r="Y107" s="29"/>
      <c r="Z107" s="29"/>
      <c r="AA107" s="29"/>
      <c r="AB107" s="29"/>
      <c r="AC107" s="29"/>
      <c r="AD107" s="30"/>
      <c r="AE107" s="30"/>
      <c r="AF107" s="30"/>
      <c r="AG107" s="30"/>
      <c r="AH107" s="31"/>
      <c r="AI107" s="31"/>
      <c r="AJ107" s="31"/>
      <c r="AK107" s="31"/>
      <c r="AL107" s="31"/>
      <c r="AM107" s="31"/>
      <c r="AN107" s="26"/>
      <c r="AO107" s="26"/>
      <c r="AP107" s="26"/>
      <c r="AQ107" s="26"/>
      <c r="AR107" s="26"/>
      <c r="AS107" s="26"/>
      <c r="AT107" s="26"/>
      <c r="AU107" s="26"/>
      <c r="AV107" s="32"/>
    </row>
    <row r="108" customFormat="false" ht="15" hidden="false" customHeight="false" outlineLevel="0" collapsed="false">
      <c r="A108" s="24" t="n">
        <v>105</v>
      </c>
      <c r="B108" s="25" t="str">
        <f aca="true">IF(C108="","",IF(E108="","",IFERROR("BTM-"&amp;LEFT(C108,3)&amp;"-"&amp;E108&amp;"-"&amp;TEXT(TODAY(),"YY")&amp;"-"&amp;TEXT(A108,"000"),"")))</f>
        <v/>
      </c>
      <c r="C108" s="26"/>
      <c r="D108" s="26"/>
      <c r="E108" s="26"/>
      <c r="F108" s="26"/>
      <c r="G108" s="26"/>
      <c r="H108" s="26"/>
      <c r="I108" s="26"/>
      <c r="J108" s="27" t="str">
        <f aca="false">IF(F108="","",IF(I108="","",F108*I108))</f>
        <v/>
      </c>
      <c r="K108" s="26"/>
      <c r="L108" s="26"/>
      <c r="M108" s="27" t="str">
        <f aca="false">IF(OR(J108="",L108="",K108=""),"",IFERROR((J108-K108-IF(O108="Adjust in Plan",N108,0))/L108,"-"))</f>
        <v/>
      </c>
      <c r="N108" s="28"/>
      <c r="O108" s="28"/>
      <c r="P108" s="27" t="n">
        <f aca="false">IFERROR(SUMIF(INSTALMENTS!$C:$C,B108,INSTALMENTS!$I:$I),0)</f>
        <v>0</v>
      </c>
      <c r="Q108" s="27" t="str">
        <f aca="false">IF(J108="","",J108-P108)</f>
        <v/>
      </c>
      <c r="R108" s="25" t="str">
        <f aca="true">IF(J108="","",IF(Q108&lt;=0,"✅ Completed",IF(IFERROR(SUMPRODUCT((INSTALMENTS!$C:$C=B108)*(INSTALMENTS!$F:$F&lt;TODAY())*(INSTALMENTS!$I:$I&lt;INSTALMENTS!$H:$H)),0)&gt;0,"🔴 Overdue","🟢 Active")))</f>
        <v/>
      </c>
      <c r="S108" s="26"/>
      <c r="T108" s="26"/>
      <c r="U108" s="26"/>
      <c r="V108" s="26"/>
      <c r="W108" s="26"/>
      <c r="X108" s="29"/>
      <c r="Y108" s="29"/>
      <c r="Z108" s="29"/>
      <c r="AA108" s="29"/>
      <c r="AB108" s="29"/>
      <c r="AC108" s="29"/>
      <c r="AD108" s="30"/>
      <c r="AE108" s="30"/>
      <c r="AF108" s="30"/>
      <c r="AG108" s="30"/>
      <c r="AH108" s="31"/>
      <c r="AI108" s="31"/>
      <c r="AJ108" s="31"/>
      <c r="AK108" s="31"/>
      <c r="AL108" s="31"/>
      <c r="AM108" s="31"/>
      <c r="AN108" s="26"/>
      <c r="AO108" s="26"/>
      <c r="AP108" s="26"/>
      <c r="AQ108" s="26"/>
      <c r="AR108" s="26"/>
      <c r="AS108" s="26"/>
      <c r="AT108" s="26"/>
      <c r="AU108" s="26"/>
      <c r="AV108" s="32"/>
    </row>
    <row r="109" customFormat="false" ht="15" hidden="false" customHeight="false" outlineLevel="0" collapsed="false">
      <c r="A109" s="24" t="n">
        <v>106</v>
      </c>
      <c r="B109" s="25" t="str">
        <f aca="true">IF(C109="","",IF(E109="","",IFERROR("BTM-"&amp;LEFT(C109,3)&amp;"-"&amp;E109&amp;"-"&amp;TEXT(TODAY(),"YY")&amp;"-"&amp;TEXT(A109,"000"),"")))</f>
        <v/>
      </c>
      <c r="C109" s="26"/>
      <c r="D109" s="26"/>
      <c r="E109" s="26"/>
      <c r="F109" s="26"/>
      <c r="G109" s="26"/>
      <c r="H109" s="26"/>
      <c r="I109" s="26"/>
      <c r="J109" s="27" t="str">
        <f aca="false">IF(F109="","",IF(I109="","",F109*I109))</f>
        <v/>
      </c>
      <c r="K109" s="26"/>
      <c r="L109" s="26"/>
      <c r="M109" s="27" t="str">
        <f aca="false">IF(OR(J109="",L109="",K109=""),"",IFERROR((J109-K109-IF(O109="Adjust in Plan",N109,0))/L109,"-"))</f>
        <v/>
      </c>
      <c r="N109" s="28"/>
      <c r="O109" s="28"/>
      <c r="P109" s="27" t="n">
        <f aca="false">IFERROR(SUMIF(INSTALMENTS!$C:$C,B109,INSTALMENTS!$I:$I),0)</f>
        <v>0</v>
      </c>
      <c r="Q109" s="27" t="str">
        <f aca="false">IF(J109="","",J109-P109)</f>
        <v/>
      </c>
      <c r="R109" s="25" t="str">
        <f aca="true">IF(J109="","",IF(Q109&lt;=0,"✅ Completed",IF(IFERROR(SUMPRODUCT((INSTALMENTS!$C:$C=B109)*(INSTALMENTS!$F:$F&lt;TODAY())*(INSTALMENTS!$I:$I&lt;INSTALMENTS!$H:$H)),0)&gt;0,"🔴 Overdue","🟢 Active")))</f>
        <v/>
      </c>
      <c r="S109" s="26"/>
      <c r="T109" s="26"/>
      <c r="U109" s="26"/>
      <c r="V109" s="26"/>
      <c r="W109" s="26"/>
      <c r="X109" s="29"/>
      <c r="Y109" s="29"/>
      <c r="Z109" s="29"/>
      <c r="AA109" s="29"/>
      <c r="AB109" s="29"/>
      <c r="AC109" s="29"/>
      <c r="AD109" s="30"/>
      <c r="AE109" s="30"/>
      <c r="AF109" s="30"/>
      <c r="AG109" s="30"/>
      <c r="AH109" s="31"/>
      <c r="AI109" s="31"/>
      <c r="AJ109" s="31"/>
      <c r="AK109" s="31"/>
      <c r="AL109" s="31"/>
      <c r="AM109" s="31"/>
      <c r="AN109" s="26"/>
      <c r="AO109" s="26"/>
      <c r="AP109" s="26"/>
      <c r="AQ109" s="26"/>
      <c r="AR109" s="26"/>
      <c r="AS109" s="26"/>
      <c r="AT109" s="26"/>
      <c r="AU109" s="26"/>
      <c r="AV109" s="32"/>
    </row>
    <row r="110" customFormat="false" ht="15" hidden="false" customHeight="false" outlineLevel="0" collapsed="false">
      <c r="A110" s="24" t="n">
        <v>107</v>
      </c>
      <c r="B110" s="25" t="str">
        <f aca="true">IF(C110="","",IF(E110="","",IFERROR("BTM-"&amp;LEFT(C110,3)&amp;"-"&amp;E110&amp;"-"&amp;TEXT(TODAY(),"YY")&amp;"-"&amp;TEXT(A110,"000"),"")))</f>
        <v/>
      </c>
      <c r="C110" s="26"/>
      <c r="D110" s="26"/>
      <c r="E110" s="26"/>
      <c r="F110" s="26"/>
      <c r="G110" s="26"/>
      <c r="H110" s="26"/>
      <c r="I110" s="26"/>
      <c r="J110" s="27" t="str">
        <f aca="false">IF(F110="","",IF(I110="","",F110*I110))</f>
        <v/>
      </c>
      <c r="K110" s="26"/>
      <c r="L110" s="26"/>
      <c r="M110" s="27" t="str">
        <f aca="false">IF(OR(J110="",L110="",K110=""),"",IFERROR((J110-K110-IF(O110="Adjust in Plan",N110,0))/L110,"-"))</f>
        <v/>
      </c>
      <c r="N110" s="28"/>
      <c r="O110" s="28"/>
      <c r="P110" s="27" t="n">
        <f aca="false">IFERROR(SUMIF(INSTALMENTS!$C:$C,B110,INSTALMENTS!$I:$I),0)</f>
        <v>0</v>
      </c>
      <c r="Q110" s="27" t="str">
        <f aca="false">IF(J110="","",J110-P110)</f>
        <v/>
      </c>
      <c r="R110" s="25" t="str">
        <f aca="true">IF(J110="","",IF(Q110&lt;=0,"✅ Completed",IF(IFERROR(SUMPRODUCT((INSTALMENTS!$C:$C=B110)*(INSTALMENTS!$F:$F&lt;TODAY())*(INSTALMENTS!$I:$I&lt;INSTALMENTS!$H:$H)),0)&gt;0,"🔴 Overdue","🟢 Active")))</f>
        <v/>
      </c>
      <c r="S110" s="26"/>
      <c r="T110" s="26"/>
      <c r="U110" s="26"/>
      <c r="V110" s="26"/>
      <c r="W110" s="26"/>
      <c r="X110" s="29"/>
      <c r="Y110" s="29"/>
      <c r="Z110" s="29"/>
      <c r="AA110" s="29"/>
      <c r="AB110" s="29"/>
      <c r="AC110" s="29"/>
      <c r="AD110" s="30"/>
      <c r="AE110" s="30"/>
      <c r="AF110" s="30"/>
      <c r="AG110" s="30"/>
      <c r="AH110" s="31"/>
      <c r="AI110" s="31"/>
      <c r="AJ110" s="31"/>
      <c r="AK110" s="31"/>
      <c r="AL110" s="31"/>
      <c r="AM110" s="31"/>
      <c r="AN110" s="26"/>
      <c r="AO110" s="26"/>
      <c r="AP110" s="26"/>
      <c r="AQ110" s="26"/>
      <c r="AR110" s="26"/>
      <c r="AS110" s="26"/>
      <c r="AT110" s="26"/>
      <c r="AU110" s="26"/>
      <c r="AV110" s="32"/>
    </row>
    <row r="111" customFormat="false" ht="15" hidden="false" customHeight="false" outlineLevel="0" collapsed="false">
      <c r="A111" s="24" t="n">
        <v>108</v>
      </c>
      <c r="B111" s="25" t="str">
        <f aca="true">IF(C111="","",IF(E111="","",IFERROR("BTM-"&amp;LEFT(C111,3)&amp;"-"&amp;E111&amp;"-"&amp;TEXT(TODAY(),"YY")&amp;"-"&amp;TEXT(A111,"000"),"")))</f>
        <v/>
      </c>
      <c r="C111" s="26"/>
      <c r="D111" s="26"/>
      <c r="E111" s="26"/>
      <c r="F111" s="26"/>
      <c r="G111" s="26"/>
      <c r="H111" s="26"/>
      <c r="I111" s="26"/>
      <c r="J111" s="27" t="str">
        <f aca="false">IF(F111="","",IF(I111="","",F111*I111))</f>
        <v/>
      </c>
      <c r="K111" s="26"/>
      <c r="L111" s="26"/>
      <c r="M111" s="27" t="str">
        <f aca="false">IF(OR(J111="",L111="",K111=""),"",IFERROR((J111-K111-IF(O111="Adjust in Plan",N111,0))/L111,"-"))</f>
        <v/>
      </c>
      <c r="N111" s="28"/>
      <c r="O111" s="28"/>
      <c r="P111" s="27" t="n">
        <f aca="false">IFERROR(SUMIF(INSTALMENTS!$C:$C,B111,INSTALMENTS!$I:$I),0)</f>
        <v>0</v>
      </c>
      <c r="Q111" s="27" t="str">
        <f aca="false">IF(J111="","",J111-P111)</f>
        <v/>
      </c>
      <c r="R111" s="25" t="str">
        <f aca="true">IF(J111="","",IF(Q111&lt;=0,"✅ Completed",IF(IFERROR(SUMPRODUCT((INSTALMENTS!$C:$C=B111)*(INSTALMENTS!$F:$F&lt;TODAY())*(INSTALMENTS!$I:$I&lt;INSTALMENTS!$H:$H)),0)&gt;0,"🔴 Overdue","🟢 Active")))</f>
        <v/>
      </c>
      <c r="S111" s="26"/>
      <c r="T111" s="26"/>
      <c r="U111" s="26"/>
      <c r="V111" s="26"/>
      <c r="W111" s="26"/>
      <c r="X111" s="29"/>
      <c r="Y111" s="29"/>
      <c r="Z111" s="29"/>
      <c r="AA111" s="29"/>
      <c r="AB111" s="29"/>
      <c r="AC111" s="29"/>
      <c r="AD111" s="30"/>
      <c r="AE111" s="30"/>
      <c r="AF111" s="30"/>
      <c r="AG111" s="30"/>
      <c r="AH111" s="31"/>
      <c r="AI111" s="31"/>
      <c r="AJ111" s="31"/>
      <c r="AK111" s="31"/>
      <c r="AL111" s="31"/>
      <c r="AM111" s="31"/>
      <c r="AN111" s="26"/>
      <c r="AO111" s="26"/>
      <c r="AP111" s="26"/>
      <c r="AQ111" s="26"/>
      <c r="AR111" s="26"/>
      <c r="AS111" s="26"/>
      <c r="AT111" s="26"/>
      <c r="AU111" s="26"/>
      <c r="AV111" s="32"/>
    </row>
    <row r="112" customFormat="false" ht="15" hidden="false" customHeight="false" outlineLevel="0" collapsed="false">
      <c r="A112" s="24" t="n">
        <v>109</v>
      </c>
      <c r="B112" s="25" t="str">
        <f aca="true">IF(C112="","",IF(E112="","",IFERROR("BTM-"&amp;LEFT(C112,3)&amp;"-"&amp;E112&amp;"-"&amp;TEXT(TODAY(),"YY")&amp;"-"&amp;TEXT(A112,"000"),"")))</f>
        <v/>
      </c>
      <c r="C112" s="26"/>
      <c r="D112" s="26"/>
      <c r="E112" s="26"/>
      <c r="F112" s="26"/>
      <c r="G112" s="26"/>
      <c r="H112" s="26"/>
      <c r="I112" s="26"/>
      <c r="J112" s="27" t="str">
        <f aca="false">IF(F112="","",IF(I112="","",F112*I112))</f>
        <v/>
      </c>
      <c r="K112" s="26"/>
      <c r="L112" s="26"/>
      <c r="M112" s="27" t="str">
        <f aca="false">IF(OR(J112="",L112="",K112=""),"",IFERROR((J112-K112-IF(O112="Adjust in Plan",N112,0))/L112,"-"))</f>
        <v/>
      </c>
      <c r="N112" s="28"/>
      <c r="O112" s="28"/>
      <c r="P112" s="27" t="n">
        <f aca="false">IFERROR(SUMIF(INSTALMENTS!$C:$C,B112,INSTALMENTS!$I:$I),0)</f>
        <v>0</v>
      </c>
      <c r="Q112" s="27" t="str">
        <f aca="false">IF(J112="","",J112-P112)</f>
        <v/>
      </c>
      <c r="R112" s="25" t="str">
        <f aca="true">IF(J112="","",IF(Q112&lt;=0,"✅ Completed",IF(IFERROR(SUMPRODUCT((INSTALMENTS!$C:$C=B112)*(INSTALMENTS!$F:$F&lt;TODAY())*(INSTALMENTS!$I:$I&lt;INSTALMENTS!$H:$H)),0)&gt;0,"🔴 Overdue","🟢 Active")))</f>
        <v/>
      </c>
      <c r="S112" s="26"/>
      <c r="T112" s="26"/>
      <c r="U112" s="26"/>
      <c r="V112" s="26"/>
      <c r="W112" s="26"/>
      <c r="X112" s="29"/>
      <c r="Y112" s="29"/>
      <c r="Z112" s="29"/>
      <c r="AA112" s="29"/>
      <c r="AB112" s="29"/>
      <c r="AC112" s="29"/>
      <c r="AD112" s="30"/>
      <c r="AE112" s="30"/>
      <c r="AF112" s="30"/>
      <c r="AG112" s="30"/>
      <c r="AH112" s="31"/>
      <c r="AI112" s="31"/>
      <c r="AJ112" s="31"/>
      <c r="AK112" s="31"/>
      <c r="AL112" s="31"/>
      <c r="AM112" s="31"/>
      <c r="AN112" s="26"/>
      <c r="AO112" s="26"/>
      <c r="AP112" s="26"/>
      <c r="AQ112" s="26"/>
      <c r="AR112" s="26"/>
      <c r="AS112" s="26"/>
      <c r="AT112" s="26"/>
      <c r="AU112" s="26"/>
      <c r="AV112" s="32"/>
    </row>
    <row r="113" customFormat="false" ht="15" hidden="false" customHeight="false" outlineLevel="0" collapsed="false">
      <c r="A113" s="24" t="n">
        <v>110</v>
      </c>
      <c r="B113" s="25" t="str">
        <f aca="true">IF(C113="","",IF(E113="","",IFERROR("BTM-"&amp;LEFT(C113,3)&amp;"-"&amp;E113&amp;"-"&amp;TEXT(TODAY(),"YY")&amp;"-"&amp;TEXT(A113,"000"),"")))</f>
        <v/>
      </c>
      <c r="C113" s="26"/>
      <c r="D113" s="26"/>
      <c r="E113" s="26"/>
      <c r="F113" s="26"/>
      <c r="G113" s="26"/>
      <c r="H113" s="26"/>
      <c r="I113" s="26"/>
      <c r="J113" s="27" t="str">
        <f aca="false">IF(F113="","",IF(I113="","",F113*I113))</f>
        <v/>
      </c>
      <c r="K113" s="26"/>
      <c r="L113" s="26"/>
      <c r="M113" s="27" t="str">
        <f aca="false">IF(OR(J113="",L113="",K113=""),"",IFERROR((J113-K113-IF(O113="Adjust in Plan",N113,0))/L113,"-"))</f>
        <v/>
      </c>
      <c r="N113" s="28"/>
      <c r="O113" s="28"/>
      <c r="P113" s="27" t="n">
        <f aca="false">IFERROR(SUMIF(INSTALMENTS!$C:$C,B113,INSTALMENTS!$I:$I),0)</f>
        <v>0</v>
      </c>
      <c r="Q113" s="27" t="str">
        <f aca="false">IF(J113="","",J113-P113)</f>
        <v/>
      </c>
      <c r="R113" s="25" t="str">
        <f aca="true">IF(J113="","",IF(Q113&lt;=0,"✅ Completed",IF(IFERROR(SUMPRODUCT((INSTALMENTS!$C:$C=B113)*(INSTALMENTS!$F:$F&lt;TODAY())*(INSTALMENTS!$I:$I&lt;INSTALMENTS!$H:$H)),0)&gt;0,"🔴 Overdue","🟢 Active")))</f>
        <v/>
      </c>
      <c r="S113" s="26"/>
      <c r="T113" s="26"/>
      <c r="U113" s="26"/>
      <c r="V113" s="26"/>
      <c r="W113" s="26"/>
      <c r="X113" s="29"/>
      <c r="Y113" s="29"/>
      <c r="Z113" s="29"/>
      <c r="AA113" s="29"/>
      <c r="AB113" s="29"/>
      <c r="AC113" s="29"/>
      <c r="AD113" s="30"/>
      <c r="AE113" s="30"/>
      <c r="AF113" s="30"/>
      <c r="AG113" s="30"/>
      <c r="AH113" s="31"/>
      <c r="AI113" s="31"/>
      <c r="AJ113" s="31"/>
      <c r="AK113" s="31"/>
      <c r="AL113" s="31"/>
      <c r="AM113" s="31"/>
      <c r="AN113" s="26"/>
      <c r="AO113" s="26"/>
      <c r="AP113" s="26"/>
      <c r="AQ113" s="26"/>
      <c r="AR113" s="26"/>
      <c r="AS113" s="26"/>
      <c r="AT113" s="26"/>
      <c r="AU113" s="26"/>
      <c r="AV113" s="32"/>
    </row>
    <row r="114" customFormat="false" ht="15" hidden="false" customHeight="false" outlineLevel="0" collapsed="false">
      <c r="A114" s="24" t="n">
        <v>111</v>
      </c>
      <c r="B114" s="25" t="str">
        <f aca="true">IF(C114="","",IF(E114="","",IFERROR("BTM-"&amp;LEFT(C114,3)&amp;"-"&amp;E114&amp;"-"&amp;TEXT(TODAY(),"YY")&amp;"-"&amp;TEXT(A114,"000"),"")))</f>
        <v/>
      </c>
      <c r="C114" s="26"/>
      <c r="D114" s="26"/>
      <c r="E114" s="26"/>
      <c r="F114" s="26"/>
      <c r="G114" s="26"/>
      <c r="H114" s="26"/>
      <c r="I114" s="26"/>
      <c r="J114" s="27" t="str">
        <f aca="false">IF(F114="","",IF(I114="","",F114*I114))</f>
        <v/>
      </c>
      <c r="K114" s="26"/>
      <c r="L114" s="26"/>
      <c r="M114" s="27" t="str">
        <f aca="false">IF(OR(J114="",L114="",K114=""),"",IFERROR((J114-K114-IF(O114="Adjust in Plan",N114,0))/L114,"-"))</f>
        <v/>
      </c>
      <c r="N114" s="28"/>
      <c r="O114" s="28"/>
      <c r="P114" s="27" t="n">
        <f aca="false">IFERROR(SUMIF(INSTALMENTS!$C:$C,B114,INSTALMENTS!$I:$I),0)</f>
        <v>0</v>
      </c>
      <c r="Q114" s="27" t="str">
        <f aca="false">IF(J114="","",J114-P114)</f>
        <v/>
      </c>
      <c r="R114" s="25" t="str">
        <f aca="true">IF(J114="","",IF(Q114&lt;=0,"✅ Completed",IF(IFERROR(SUMPRODUCT((INSTALMENTS!$C:$C=B114)*(INSTALMENTS!$F:$F&lt;TODAY())*(INSTALMENTS!$I:$I&lt;INSTALMENTS!$H:$H)),0)&gt;0,"🔴 Overdue","🟢 Active")))</f>
        <v/>
      </c>
      <c r="S114" s="26"/>
      <c r="T114" s="26"/>
      <c r="U114" s="26"/>
      <c r="V114" s="26"/>
      <c r="W114" s="26"/>
      <c r="X114" s="29"/>
      <c r="Y114" s="29"/>
      <c r="Z114" s="29"/>
      <c r="AA114" s="29"/>
      <c r="AB114" s="29"/>
      <c r="AC114" s="29"/>
      <c r="AD114" s="30"/>
      <c r="AE114" s="30"/>
      <c r="AF114" s="30"/>
      <c r="AG114" s="30"/>
      <c r="AH114" s="31"/>
      <c r="AI114" s="31"/>
      <c r="AJ114" s="31"/>
      <c r="AK114" s="31"/>
      <c r="AL114" s="31"/>
      <c r="AM114" s="31"/>
      <c r="AN114" s="26"/>
      <c r="AO114" s="26"/>
      <c r="AP114" s="26"/>
      <c r="AQ114" s="26"/>
      <c r="AR114" s="26"/>
      <c r="AS114" s="26"/>
      <c r="AT114" s="26"/>
      <c r="AU114" s="26"/>
      <c r="AV114" s="32"/>
    </row>
    <row r="115" customFormat="false" ht="15" hidden="false" customHeight="false" outlineLevel="0" collapsed="false">
      <c r="A115" s="24" t="n">
        <v>112</v>
      </c>
      <c r="B115" s="25" t="str">
        <f aca="true">IF(C115="","",IF(E115="","",IFERROR("BTM-"&amp;LEFT(C115,3)&amp;"-"&amp;E115&amp;"-"&amp;TEXT(TODAY(),"YY")&amp;"-"&amp;TEXT(A115,"000"),"")))</f>
        <v/>
      </c>
      <c r="C115" s="26"/>
      <c r="D115" s="26"/>
      <c r="E115" s="26"/>
      <c r="F115" s="26"/>
      <c r="G115" s="26"/>
      <c r="H115" s="26"/>
      <c r="I115" s="26"/>
      <c r="J115" s="27" t="str">
        <f aca="false">IF(F115="","",IF(I115="","",F115*I115))</f>
        <v/>
      </c>
      <c r="K115" s="26"/>
      <c r="L115" s="26"/>
      <c r="M115" s="27" t="str">
        <f aca="false">IF(OR(J115="",L115="",K115=""),"",IFERROR((J115-K115-IF(O115="Adjust in Plan",N115,0))/L115,"-"))</f>
        <v/>
      </c>
      <c r="N115" s="28"/>
      <c r="O115" s="28"/>
      <c r="P115" s="27" t="n">
        <f aca="false">IFERROR(SUMIF(INSTALMENTS!$C:$C,B115,INSTALMENTS!$I:$I),0)</f>
        <v>0</v>
      </c>
      <c r="Q115" s="27" t="str">
        <f aca="false">IF(J115="","",J115-P115)</f>
        <v/>
      </c>
      <c r="R115" s="25" t="str">
        <f aca="true">IF(J115="","",IF(Q115&lt;=0,"✅ Completed",IF(IFERROR(SUMPRODUCT((INSTALMENTS!$C:$C=B115)*(INSTALMENTS!$F:$F&lt;TODAY())*(INSTALMENTS!$I:$I&lt;INSTALMENTS!$H:$H)),0)&gt;0,"🔴 Overdue","🟢 Active")))</f>
        <v/>
      </c>
      <c r="S115" s="26"/>
      <c r="T115" s="26"/>
      <c r="U115" s="26"/>
      <c r="V115" s="26"/>
      <c r="W115" s="26"/>
      <c r="X115" s="29"/>
      <c r="Y115" s="29"/>
      <c r="Z115" s="29"/>
      <c r="AA115" s="29"/>
      <c r="AB115" s="29"/>
      <c r="AC115" s="29"/>
      <c r="AD115" s="30"/>
      <c r="AE115" s="30"/>
      <c r="AF115" s="30"/>
      <c r="AG115" s="30"/>
      <c r="AH115" s="31"/>
      <c r="AI115" s="31"/>
      <c r="AJ115" s="31"/>
      <c r="AK115" s="31"/>
      <c r="AL115" s="31"/>
      <c r="AM115" s="31"/>
      <c r="AN115" s="26"/>
      <c r="AO115" s="26"/>
      <c r="AP115" s="26"/>
      <c r="AQ115" s="26"/>
      <c r="AR115" s="26"/>
      <c r="AS115" s="26"/>
      <c r="AT115" s="26"/>
      <c r="AU115" s="26"/>
      <c r="AV115" s="32"/>
    </row>
    <row r="116" customFormat="false" ht="15" hidden="false" customHeight="false" outlineLevel="0" collapsed="false">
      <c r="A116" s="24" t="n">
        <v>113</v>
      </c>
      <c r="B116" s="25" t="str">
        <f aca="true">IF(C116="","",IF(E116="","",IFERROR("BTM-"&amp;LEFT(C116,3)&amp;"-"&amp;E116&amp;"-"&amp;TEXT(TODAY(),"YY")&amp;"-"&amp;TEXT(A116,"000"),"")))</f>
        <v/>
      </c>
      <c r="C116" s="26"/>
      <c r="D116" s="26"/>
      <c r="E116" s="26"/>
      <c r="F116" s="26"/>
      <c r="G116" s="26"/>
      <c r="H116" s="26"/>
      <c r="I116" s="26"/>
      <c r="J116" s="27" t="str">
        <f aca="false">IF(F116="","",IF(I116="","",F116*I116))</f>
        <v/>
      </c>
      <c r="K116" s="26"/>
      <c r="L116" s="26"/>
      <c r="M116" s="27" t="str">
        <f aca="false">IF(OR(J116="",L116="",K116=""),"",IFERROR((J116-K116-IF(O116="Adjust in Plan",N116,0))/L116,"-"))</f>
        <v/>
      </c>
      <c r="N116" s="28"/>
      <c r="O116" s="28"/>
      <c r="P116" s="27" t="n">
        <f aca="false">IFERROR(SUMIF(INSTALMENTS!$C:$C,B116,INSTALMENTS!$I:$I),0)</f>
        <v>0</v>
      </c>
      <c r="Q116" s="27" t="str">
        <f aca="false">IF(J116="","",J116-P116)</f>
        <v/>
      </c>
      <c r="R116" s="25" t="str">
        <f aca="true">IF(J116="","",IF(Q116&lt;=0,"✅ Completed",IF(IFERROR(SUMPRODUCT((INSTALMENTS!$C:$C=B116)*(INSTALMENTS!$F:$F&lt;TODAY())*(INSTALMENTS!$I:$I&lt;INSTALMENTS!$H:$H)),0)&gt;0,"🔴 Overdue","🟢 Active")))</f>
        <v/>
      </c>
      <c r="S116" s="26"/>
      <c r="T116" s="26"/>
      <c r="U116" s="26"/>
      <c r="V116" s="26"/>
      <c r="W116" s="26"/>
      <c r="X116" s="29"/>
      <c r="Y116" s="29"/>
      <c r="Z116" s="29"/>
      <c r="AA116" s="29"/>
      <c r="AB116" s="29"/>
      <c r="AC116" s="29"/>
      <c r="AD116" s="30"/>
      <c r="AE116" s="30"/>
      <c r="AF116" s="30"/>
      <c r="AG116" s="30"/>
      <c r="AH116" s="31"/>
      <c r="AI116" s="31"/>
      <c r="AJ116" s="31"/>
      <c r="AK116" s="31"/>
      <c r="AL116" s="31"/>
      <c r="AM116" s="31"/>
      <c r="AN116" s="26"/>
      <c r="AO116" s="26"/>
      <c r="AP116" s="26"/>
      <c r="AQ116" s="26"/>
      <c r="AR116" s="26"/>
      <c r="AS116" s="26"/>
      <c r="AT116" s="26"/>
      <c r="AU116" s="26"/>
      <c r="AV116" s="32"/>
    </row>
    <row r="117" customFormat="false" ht="15" hidden="false" customHeight="false" outlineLevel="0" collapsed="false">
      <c r="A117" s="24" t="n">
        <v>114</v>
      </c>
      <c r="B117" s="25" t="str">
        <f aca="true">IF(C117="","",IF(E117="","",IFERROR("BTM-"&amp;LEFT(C117,3)&amp;"-"&amp;E117&amp;"-"&amp;TEXT(TODAY(),"YY")&amp;"-"&amp;TEXT(A117,"000"),"")))</f>
        <v/>
      </c>
      <c r="C117" s="26"/>
      <c r="D117" s="26"/>
      <c r="E117" s="26"/>
      <c r="F117" s="26"/>
      <c r="G117" s="26"/>
      <c r="H117" s="26"/>
      <c r="I117" s="26"/>
      <c r="J117" s="27" t="str">
        <f aca="false">IF(F117="","",IF(I117="","",F117*I117))</f>
        <v/>
      </c>
      <c r="K117" s="26"/>
      <c r="L117" s="26"/>
      <c r="M117" s="27" t="str">
        <f aca="false">IF(OR(J117="",L117="",K117=""),"",IFERROR((J117-K117-IF(O117="Adjust in Plan",N117,0))/L117,"-"))</f>
        <v/>
      </c>
      <c r="N117" s="28"/>
      <c r="O117" s="28"/>
      <c r="P117" s="27" t="n">
        <f aca="false">IFERROR(SUMIF(INSTALMENTS!$C:$C,B117,INSTALMENTS!$I:$I),0)</f>
        <v>0</v>
      </c>
      <c r="Q117" s="27" t="str">
        <f aca="false">IF(J117="","",J117-P117)</f>
        <v/>
      </c>
      <c r="R117" s="25" t="str">
        <f aca="true">IF(J117="","",IF(Q117&lt;=0,"✅ Completed",IF(IFERROR(SUMPRODUCT((INSTALMENTS!$C:$C=B117)*(INSTALMENTS!$F:$F&lt;TODAY())*(INSTALMENTS!$I:$I&lt;INSTALMENTS!$H:$H)),0)&gt;0,"🔴 Overdue","🟢 Active")))</f>
        <v/>
      </c>
      <c r="S117" s="26"/>
      <c r="T117" s="26"/>
      <c r="U117" s="26"/>
      <c r="V117" s="26"/>
      <c r="W117" s="26"/>
      <c r="X117" s="29"/>
      <c r="Y117" s="29"/>
      <c r="Z117" s="29"/>
      <c r="AA117" s="29"/>
      <c r="AB117" s="29"/>
      <c r="AC117" s="29"/>
      <c r="AD117" s="30"/>
      <c r="AE117" s="30"/>
      <c r="AF117" s="30"/>
      <c r="AG117" s="30"/>
      <c r="AH117" s="31"/>
      <c r="AI117" s="31"/>
      <c r="AJ117" s="31"/>
      <c r="AK117" s="31"/>
      <c r="AL117" s="31"/>
      <c r="AM117" s="31"/>
      <c r="AN117" s="26"/>
      <c r="AO117" s="26"/>
      <c r="AP117" s="26"/>
      <c r="AQ117" s="26"/>
      <c r="AR117" s="26"/>
      <c r="AS117" s="26"/>
      <c r="AT117" s="26"/>
      <c r="AU117" s="26"/>
      <c r="AV117" s="32"/>
    </row>
    <row r="118" customFormat="false" ht="15" hidden="false" customHeight="false" outlineLevel="0" collapsed="false">
      <c r="A118" s="24" t="n">
        <v>115</v>
      </c>
      <c r="B118" s="25" t="str">
        <f aca="true">IF(C118="","",IF(E118="","",IFERROR("BTM-"&amp;LEFT(C118,3)&amp;"-"&amp;E118&amp;"-"&amp;TEXT(TODAY(),"YY")&amp;"-"&amp;TEXT(A118,"000"),"")))</f>
        <v/>
      </c>
      <c r="C118" s="26"/>
      <c r="D118" s="26"/>
      <c r="E118" s="26"/>
      <c r="F118" s="26"/>
      <c r="G118" s="26"/>
      <c r="H118" s="26"/>
      <c r="I118" s="26"/>
      <c r="J118" s="27" t="str">
        <f aca="false">IF(F118="","",IF(I118="","",F118*I118))</f>
        <v/>
      </c>
      <c r="K118" s="26"/>
      <c r="L118" s="26"/>
      <c r="M118" s="27" t="str">
        <f aca="false">IF(OR(J118="",L118="",K118=""),"",IFERROR((J118-K118-IF(O118="Adjust in Plan",N118,0))/L118,"-"))</f>
        <v/>
      </c>
      <c r="N118" s="28"/>
      <c r="O118" s="28"/>
      <c r="P118" s="27" t="n">
        <f aca="false">IFERROR(SUMIF(INSTALMENTS!$C:$C,B118,INSTALMENTS!$I:$I),0)</f>
        <v>0</v>
      </c>
      <c r="Q118" s="27" t="str">
        <f aca="false">IF(J118="","",J118-P118)</f>
        <v/>
      </c>
      <c r="R118" s="25" t="str">
        <f aca="true">IF(J118="","",IF(Q118&lt;=0,"✅ Completed",IF(IFERROR(SUMPRODUCT((INSTALMENTS!$C:$C=B118)*(INSTALMENTS!$F:$F&lt;TODAY())*(INSTALMENTS!$I:$I&lt;INSTALMENTS!$H:$H)),0)&gt;0,"🔴 Overdue","🟢 Active")))</f>
        <v/>
      </c>
      <c r="S118" s="26"/>
      <c r="T118" s="26"/>
      <c r="U118" s="26"/>
      <c r="V118" s="26"/>
      <c r="W118" s="26"/>
      <c r="X118" s="29"/>
      <c r="Y118" s="29"/>
      <c r="Z118" s="29"/>
      <c r="AA118" s="29"/>
      <c r="AB118" s="29"/>
      <c r="AC118" s="29"/>
      <c r="AD118" s="30"/>
      <c r="AE118" s="30"/>
      <c r="AF118" s="30"/>
      <c r="AG118" s="30"/>
      <c r="AH118" s="31"/>
      <c r="AI118" s="31"/>
      <c r="AJ118" s="31"/>
      <c r="AK118" s="31"/>
      <c r="AL118" s="31"/>
      <c r="AM118" s="31"/>
      <c r="AN118" s="26"/>
      <c r="AO118" s="26"/>
      <c r="AP118" s="26"/>
      <c r="AQ118" s="26"/>
      <c r="AR118" s="26"/>
      <c r="AS118" s="26"/>
      <c r="AT118" s="26"/>
      <c r="AU118" s="26"/>
      <c r="AV118" s="32"/>
    </row>
    <row r="119" customFormat="false" ht="15" hidden="false" customHeight="false" outlineLevel="0" collapsed="false">
      <c r="A119" s="24" t="n">
        <v>116</v>
      </c>
      <c r="B119" s="25" t="str">
        <f aca="true">IF(C119="","",IF(E119="","",IFERROR("BTM-"&amp;LEFT(C119,3)&amp;"-"&amp;E119&amp;"-"&amp;TEXT(TODAY(),"YY")&amp;"-"&amp;TEXT(A119,"000"),"")))</f>
        <v/>
      </c>
      <c r="C119" s="26"/>
      <c r="D119" s="26"/>
      <c r="E119" s="26"/>
      <c r="F119" s="26"/>
      <c r="G119" s="26"/>
      <c r="H119" s="26"/>
      <c r="I119" s="26"/>
      <c r="J119" s="27" t="str">
        <f aca="false">IF(F119="","",IF(I119="","",F119*I119))</f>
        <v/>
      </c>
      <c r="K119" s="26"/>
      <c r="L119" s="26"/>
      <c r="M119" s="27" t="str">
        <f aca="false">IF(OR(J119="",L119="",K119=""),"",IFERROR((J119-K119-IF(O119="Adjust in Plan",N119,0))/L119,"-"))</f>
        <v/>
      </c>
      <c r="N119" s="28"/>
      <c r="O119" s="28"/>
      <c r="P119" s="27" t="n">
        <f aca="false">IFERROR(SUMIF(INSTALMENTS!$C:$C,B119,INSTALMENTS!$I:$I),0)</f>
        <v>0</v>
      </c>
      <c r="Q119" s="27" t="str">
        <f aca="false">IF(J119="","",J119-P119)</f>
        <v/>
      </c>
      <c r="R119" s="25" t="str">
        <f aca="true">IF(J119="","",IF(Q119&lt;=0,"✅ Completed",IF(IFERROR(SUMPRODUCT((INSTALMENTS!$C:$C=B119)*(INSTALMENTS!$F:$F&lt;TODAY())*(INSTALMENTS!$I:$I&lt;INSTALMENTS!$H:$H)),0)&gt;0,"🔴 Overdue","🟢 Active")))</f>
        <v/>
      </c>
      <c r="S119" s="26"/>
      <c r="T119" s="26"/>
      <c r="U119" s="26"/>
      <c r="V119" s="26"/>
      <c r="W119" s="26"/>
      <c r="X119" s="29"/>
      <c r="Y119" s="29"/>
      <c r="Z119" s="29"/>
      <c r="AA119" s="29"/>
      <c r="AB119" s="29"/>
      <c r="AC119" s="29"/>
      <c r="AD119" s="30"/>
      <c r="AE119" s="30"/>
      <c r="AF119" s="30"/>
      <c r="AG119" s="30"/>
      <c r="AH119" s="31"/>
      <c r="AI119" s="31"/>
      <c r="AJ119" s="31"/>
      <c r="AK119" s="31"/>
      <c r="AL119" s="31"/>
      <c r="AM119" s="31"/>
      <c r="AN119" s="26"/>
      <c r="AO119" s="26"/>
      <c r="AP119" s="26"/>
      <c r="AQ119" s="26"/>
      <c r="AR119" s="26"/>
      <c r="AS119" s="26"/>
      <c r="AT119" s="26"/>
      <c r="AU119" s="26"/>
      <c r="AV119" s="32"/>
    </row>
    <row r="120" customFormat="false" ht="15" hidden="false" customHeight="false" outlineLevel="0" collapsed="false">
      <c r="A120" s="24" t="n">
        <v>117</v>
      </c>
      <c r="B120" s="25" t="str">
        <f aca="true">IF(C120="","",IF(E120="","",IFERROR("BTM-"&amp;LEFT(C120,3)&amp;"-"&amp;E120&amp;"-"&amp;TEXT(TODAY(),"YY")&amp;"-"&amp;TEXT(A120,"000"),"")))</f>
        <v/>
      </c>
      <c r="C120" s="26"/>
      <c r="D120" s="26"/>
      <c r="E120" s="26"/>
      <c r="F120" s="26"/>
      <c r="G120" s="26"/>
      <c r="H120" s="26"/>
      <c r="I120" s="26"/>
      <c r="J120" s="27" t="str">
        <f aca="false">IF(F120="","",IF(I120="","",F120*I120))</f>
        <v/>
      </c>
      <c r="K120" s="26"/>
      <c r="L120" s="26"/>
      <c r="M120" s="27" t="str">
        <f aca="false">IF(OR(J120="",L120="",K120=""),"",IFERROR((J120-K120-IF(O120="Adjust in Plan",N120,0))/L120,"-"))</f>
        <v/>
      </c>
      <c r="N120" s="28"/>
      <c r="O120" s="28"/>
      <c r="P120" s="27" t="n">
        <f aca="false">IFERROR(SUMIF(INSTALMENTS!$C:$C,B120,INSTALMENTS!$I:$I),0)</f>
        <v>0</v>
      </c>
      <c r="Q120" s="27" t="str">
        <f aca="false">IF(J120="","",J120-P120)</f>
        <v/>
      </c>
      <c r="R120" s="25" t="str">
        <f aca="true">IF(J120="","",IF(Q120&lt;=0,"✅ Completed",IF(IFERROR(SUMPRODUCT((INSTALMENTS!$C:$C=B120)*(INSTALMENTS!$F:$F&lt;TODAY())*(INSTALMENTS!$I:$I&lt;INSTALMENTS!$H:$H)),0)&gt;0,"🔴 Overdue","🟢 Active")))</f>
        <v/>
      </c>
      <c r="S120" s="26"/>
      <c r="T120" s="26"/>
      <c r="U120" s="26"/>
      <c r="V120" s="26"/>
      <c r="W120" s="26"/>
      <c r="X120" s="29"/>
      <c r="Y120" s="29"/>
      <c r="Z120" s="29"/>
      <c r="AA120" s="29"/>
      <c r="AB120" s="29"/>
      <c r="AC120" s="29"/>
      <c r="AD120" s="30"/>
      <c r="AE120" s="30"/>
      <c r="AF120" s="30"/>
      <c r="AG120" s="30"/>
      <c r="AH120" s="31"/>
      <c r="AI120" s="31"/>
      <c r="AJ120" s="31"/>
      <c r="AK120" s="31"/>
      <c r="AL120" s="31"/>
      <c r="AM120" s="31"/>
      <c r="AN120" s="26"/>
      <c r="AO120" s="26"/>
      <c r="AP120" s="26"/>
      <c r="AQ120" s="26"/>
      <c r="AR120" s="26"/>
      <c r="AS120" s="26"/>
      <c r="AT120" s="26"/>
      <c r="AU120" s="26"/>
      <c r="AV120" s="32"/>
    </row>
    <row r="121" customFormat="false" ht="15" hidden="false" customHeight="false" outlineLevel="0" collapsed="false">
      <c r="A121" s="24" t="n">
        <v>118</v>
      </c>
      <c r="B121" s="25" t="str">
        <f aca="true">IF(C121="","",IF(E121="","",IFERROR("BTM-"&amp;LEFT(C121,3)&amp;"-"&amp;E121&amp;"-"&amp;TEXT(TODAY(),"YY")&amp;"-"&amp;TEXT(A121,"000"),"")))</f>
        <v/>
      </c>
      <c r="C121" s="26"/>
      <c r="D121" s="26"/>
      <c r="E121" s="26"/>
      <c r="F121" s="26"/>
      <c r="G121" s="26"/>
      <c r="H121" s="26"/>
      <c r="I121" s="26"/>
      <c r="J121" s="27" t="str">
        <f aca="false">IF(F121="","",IF(I121="","",F121*I121))</f>
        <v/>
      </c>
      <c r="K121" s="26"/>
      <c r="L121" s="26"/>
      <c r="M121" s="27" t="str">
        <f aca="false">IF(OR(J121="",L121="",K121=""),"",IFERROR((J121-K121-IF(O121="Adjust in Plan",N121,0))/L121,"-"))</f>
        <v/>
      </c>
      <c r="N121" s="28"/>
      <c r="O121" s="28"/>
      <c r="P121" s="27" t="n">
        <f aca="false">IFERROR(SUMIF(INSTALMENTS!$C:$C,B121,INSTALMENTS!$I:$I),0)</f>
        <v>0</v>
      </c>
      <c r="Q121" s="27" t="str">
        <f aca="false">IF(J121="","",J121-P121)</f>
        <v/>
      </c>
      <c r="R121" s="25" t="str">
        <f aca="true">IF(J121="","",IF(Q121&lt;=0,"✅ Completed",IF(IFERROR(SUMPRODUCT((INSTALMENTS!$C:$C=B121)*(INSTALMENTS!$F:$F&lt;TODAY())*(INSTALMENTS!$I:$I&lt;INSTALMENTS!$H:$H)),0)&gt;0,"🔴 Overdue","🟢 Active")))</f>
        <v/>
      </c>
      <c r="S121" s="26"/>
      <c r="T121" s="26"/>
      <c r="U121" s="26"/>
      <c r="V121" s="26"/>
      <c r="W121" s="26"/>
      <c r="X121" s="29"/>
      <c r="Y121" s="29"/>
      <c r="Z121" s="29"/>
      <c r="AA121" s="29"/>
      <c r="AB121" s="29"/>
      <c r="AC121" s="29"/>
      <c r="AD121" s="30"/>
      <c r="AE121" s="30"/>
      <c r="AF121" s="30"/>
      <c r="AG121" s="30"/>
      <c r="AH121" s="31"/>
      <c r="AI121" s="31"/>
      <c r="AJ121" s="31"/>
      <c r="AK121" s="31"/>
      <c r="AL121" s="31"/>
      <c r="AM121" s="31"/>
      <c r="AN121" s="26"/>
      <c r="AO121" s="26"/>
      <c r="AP121" s="26"/>
      <c r="AQ121" s="26"/>
      <c r="AR121" s="26"/>
      <c r="AS121" s="26"/>
      <c r="AT121" s="26"/>
      <c r="AU121" s="26"/>
      <c r="AV121" s="32"/>
    </row>
    <row r="122" customFormat="false" ht="15" hidden="false" customHeight="false" outlineLevel="0" collapsed="false">
      <c r="A122" s="24" t="n">
        <v>119</v>
      </c>
      <c r="B122" s="25" t="str">
        <f aca="true">IF(C122="","",IF(E122="","",IFERROR("BTM-"&amp;LEFT(C122,3)&amp;"-"&amp;E122&amp;"-"&amp;TEXT(TODAY(),"YY")&amp;"-"&amp;TEXT(A122,"000"),"")))</f>
        <v/>
      </c>
      <c r="C122" s="26"/>
      <c r="D122" s="26"/>
      <c r="E122" s="26"/>
      <c r="F122" s="26"/>
      <c r="G122" s="26"/>
      <c r="H122" s="26"/>
      <c r="I122" s="26"/>
      <c r="J122" s="27" t="str">
        <f aca="false">IF(F122="","",IF(I122="","",F122*I122))</f>
        <v/>
      </c>
      <c r="K122" s="26"/>
      <c r="L122" s="26"/>
      <c r="M122" s="27" t="str">
        <f aca="false">IF(OR(J122="",L122="",K122=""),"",IFERROR((J122-K122-IF(O122="Adjust in Plan",N122,0))/L122,"-"))</f>
        <v/>
      </c>
      <c r="N122" s="28"/>
      <c r="O122" s="28"/>
      <c r="P122" s="27" t="n">
        <f aca="false">IFERROR(SUMIF(INSTALMENTS!$C:$C,B122,INSTALMENTS!$I:$I),0)</f>
        <v>0</v>
      </c>
      <c r="Q122" s="27" t="str">
        <f aca="false">IF(J122="","",J122-P122)</f>
        <v/>
      </c>
      <c r="R122" s="25" t="str">
        <f aca="true">IF(J122="","",IF(Q122&lt;=0,"✅ Completed",IF(IFERROR(SUMPRODUCT((INSTALMENTS!$C:$C=B122)*(INSTALMENTS!$F:$F&lt;TODAY())*(INSTALMENTS!$I:$I&lt;INSTALMENTS!$H:$H)),0)&gt;0,"🔴 Overdue","🟢 Active")))</f>
        <v/>
      </c>
      <c r="S122" s="26"/>
      <c r="T122" s="26"/>
      <c r="U122" s="26"/>
      <c r="V122" s="26"/>
      <c r="W122" s="26"/>
      <c r="X122" s="29"/>
      <c r="Y122" s="29"/>
      <c r="Z122" s="29"/>
      <c r="AA122" s="29"/>
      <c r="AB122" s="29"/>
      <c r="AC122" s="29"/>
      <c r="AD122" s="30"/>
      <c r="AE122" s="30"/>
      <c r="AF122" s="30"/>
      <c r="AG122" s="30"/>
      <c r="AH122" s="31"/>
      <c r="AI122" s="31"/>
      <c r="AJ122" s="31"/>
      <c r="AK122" s="31"/>
      <c r="AL122" s="31"/>
      <c r="AM122" s="31"/>
      <c r="AN122" s="26"/>
      <c r="AO122" s="26"/>
      <c r="AP122" s="26"/>
      <c r="AQ122" s="26"/>
      <c r="AR122" s="26"/>
      <c r="AS122" s="26"/>
      <c r="AT122" s="26"/>
      <c r="AU122" s="26"/>
      <c r="AV122" s="32"/>
    </row>
    <row r="123" customFormat="false" ht="15" hidden="false" customHeight="false" outlineLevel="0" collapsed="false">
      <c r="A123" s="24" t="n">
        <v>120</v>
      </c>
      <c r="B123" s="25" t="str">
        <f aca="true">IF(C123="","",IF(E123="","",IFERROR("BTM-"&amp;LEFT(C123,3)&amp;"-"&amp;E123&amp;"-"&amp;TEXT(TODAY(),"YY")&amp;"-"&amp;TEXT(A123,"000"),"")))</f>
        <v/>
      </c>
      <c r="C123" s="26"/>
      <c r="D123" s="26"/>
      <c r="E123" s="26"/>
      <c r="F123" s="26"/>
      <c r="G123" s="26"/>
      <c r="H123" s="26"/>
      <c r="I123" s="26"/>
      <c r="J123" s="27" t="str">
        <f aca="false">IF(F123="","",IF(I123="","",F123*I123))</f>
        <v/>
      </c>
      <c r="K123" s="26"/>
      <c r="L123" s="26"/>
      <c r="M123" s="27" t="str">
        <f aca="false">IF(OR(J123="",L123="",K123=""),"",IFERROR((J123-K123-IF(O123="Adjust in Plan",N123,0))/L123,"-"))</f>
        <v/>
      </c>
      <c r="N123" s="28"/>
      <c r="O123" s="28"/>
      <c r="P123" s="27" t="n">
        <f aca="false">IFERROR(SUMIF(INSTALMENTS!$C:$C,B123,INSTALMENTS!$I:$I),0)</f>
        <v>0</v>
      </c>
      <c r="Q123" s="27" t="str">
        <f aca="false">IF(J123="","",J123-P123)</f>
        <v/>
      </c>
      <c r="R123" s="25" t="str">
        <f aca="true">IF(J123="","",IF(Q123&lt;=0,"✅ Completed",IF(IFERROR(SUMPRODUCT((INSTALMENTS!$C:$C=B123)*(INSTALMENTS!$F:$F&lt;TODAY())*(INSTALMENTS!$I:$I&lt;INSTALMENTS!$H:$H)),0)&gt;0,"🔴 Overdue","🟢 Active")))</f>
        <v/>
      </c>
      <c r="S123" s="26"/>
      <c r="T123" s="26"/>
      <c r="U123" s="26"/>
      <c r="V123" s="26"/>
      <c r="W123" s="26"/>
      <c r="X123" s="29"/>
      <c r="Y123" s="29"/>
      <c r="Z123" s="29"/>
      <c r="AA123" s="29"/>
      <c r="AB123" s="29"/>
      <c r="AC123" s="29"/>
      <c r="AD123" s="30"/>
      <c r="AE123" s="30"/>
      <c r="AF123" s="30"/>
      <c r="AG123" s="30"/>
      <c r="AH123" s="31"/>
      <c r="AI123" s="31"/>
      <c r="AJ123" s="31"/>
      <c r="AK123" s="31"/>
      <c r="AL123" s="31"/>
      <c r="AM123" s="31"/>
      <c r="AN123" s="26"/>
      <c r="AO123" s="26"/>
      <c r="AP123" s="26"/>
      <c r="AQ123" s="26"/>
      <c r="AR123" s="26"/>
      <c r="AS123" s="26"/>
      <c r="AT123" s="26"/>
      <c r="AU123" s="26"/>
      <c r="AV123" s="32"/>
    </row>
    <row r="124" customFormat="false" ht="15" hidden="false" customHeight="false" outlineLevel="0" collapsed="false">
      <c r="A124" s="24" t="n">
        <v>121</v>
      </c>
      <c r="B124" s="25" t="str">
        <f aca="true">IF(C124="","",IF(E124="","",IFERROR("BTM-"&amp;LEFT(C124,3)&amp;"-"&amp;E124&amp;"-"&amp;TEXT(TODAY(),"YY")&amp;"-"&amp;TEXT(A124,"000"),"")))</f>
        <v/>
      </c>
      <c r="C124" s="26"/>
      <c r="D124" s="26"/>
      <c r="E124" s="26"/>
      <c r="F124" s="26"/>
      <c r="G124" s="26"/>
      <c r="H124" s="26"/>
      <c r="I124" s="26"/>
      <c r="J124" s="27" t="str">
        <f aca="false">IF(F124="","",IF(I124="","",F124*I124))</f>
        <v/>
      </c>
      <c r="K124" s="26"/>
      <c r="L124" s="26"/>
      <c r="M124" s="27" t="str">
        <f aca="false">IF(OR(J124="",L124="",K124=""),"",IFERROR((J124-K124-IF(O124="Adjust in Plan",N124,0))/L124,"-"))</f>
        <v/>
      </c>
      <c r="N124" s="28"/>
      <c r="O124" s="28"/>
      <c r="P124" s="27" t="n">
        <f aca="false">IFERROR(SUMIF(INSTALMENTS!$C:$C,B124,INSTALMENTS!$I:$I),0)</f>
        <v>0</v>
      </c>
      <c r="Q124" s="27" t="str">
        <f aca="false">IF(J124="","",J124-P124)</f>
        <v/>
      </c>
      <c r="R124" s="25" t="str">
        <f aca="true">IF(J124="","",IF(Q124&lt;=0,"✅ Completed",IF(IFERROR(SUMPRODUCT((INSTALMENTS!$C:$C=B124)*(INSTALMENTS!$F:$F&lt;TODAY())*(INSTALMENTS!$I:$I&lt;INSTALMENTS!$H:$H)),0)&gt;0,"🔴 Overdue","🟢 Active")))</f>
        <v/>
      </c>
      <c r="S124" s="26"/>
      <c r="T124" s="26"/>
      <c r="U124" s="26"/>
      <c r="V124" s="26"/>
      <c r="W124" s="26"/>
      <c r="X124" s="29"/>
      <c r="Y124" s="29"/>
      <c r="Z124" s="29"/>
      <c r="AA124" s="29"/>
      <c r="AB124" s="29"/>
      <c r="AC124" s="29"/>
      <c r="AD124" s="30"/>
      <c r="AE124" s="30"/>
      <c r="AF124" s="30"/>
      <c r="AG124" s="30"/>
      <c r="AH124" s="31"/>
      <c r="AI124" s="31"/>
      <c r="AJ124" s="31"/>
      <c r="AK124" s="31"/>
      <c r="AL124" s="31"/>
      <c r="AM124" s="31"/>
      <c r="AN124" s="26"/>
      <c r="AO124" s="26"/>
      <c r="AP124" s="26"/>
      <c r="AQ124" s="26"/>
      <c r="AR124" s="26"/>
      <c r="AS124" s="26"/>
      <c r="AT124" s="26"/>
      <c r="AU124" s="26"/>
      <c r="AV124" s="32"/>
    </row>
    <row r="125" customFormat="false" ht="15" hidden="false" customHeight="false" outlineLevel="0" collapsed="false">
      <c r="A125" s="24" t="n">
        <v>122</v>
      </c>
      <c r="B125" s="25" t="str">
        <f aca="true">IF(C125="","",IF(E125="","",IFERROR("BTM-"&amp;LEFT(C125,3)&amp;"-"&amp;E125&amp;"-"&amp;TEXT(TODAY(),"YY")&amp;"-"&amp;TEXT(A125,"000"),"")))</f>
        <v/>
      </c>
      <c r="C125" s="26"/>
      <c r="D125" s="26"/>
      <c r="E125" s="26"/>
      <c r="F125" s="26"/>
      <c r="G125" s="26"/>
      <c r="H125" s="26"/>
      <c r="I125" s="26"/>
      <c r="J125" s="27" t="str">
        <f aca="false">IF(F125="","",IF(I125="","",F125*I125))</f>
        <v/>
      </c>
      <c r="K125" s="26"/>
      <c r="L125" s="26"/>
      <c r="M125" s="27" t="str">
        <f aca="false">IF(OR(J125="",L125="",K125=""),"",IFERROR((J125-K125-IF(O125="Adjust in Plan",N125,0))/L125,"-"))</f>
        <v/>
      </c>
      <c r="N125" s="28"/>
      <c r="O125" s="28"/>
      <c r="P125" s="27" t="n">
        <f aca="false">IFERROR(SUMIF(INSTALMENTS!$C:$C,B125,INSTALMENTS!$I:$I),0)</f>
        <v>0</v>
      </c>
      <c r="Q125" s="27" t="str">
        <f aca="false">IF(J125="","",J125-P125)</f>
        <v/>
      </c>
      <c r="R125" s="25" t="str">
        <f aca="true">IF(J125="","",IF(Q125&lt;=0,"✅ Completed",IF(IFERROR(SUMPRODUCT((INSTALMENTS!$C:$C=B125)*(INSTALMENTS!$F:$F&lt;TODAY())*(INSTALMENTS!$I:$I&lt;INSTALMENTS!$H:$H)),0)&gt;0,"🔴 Overdue","🟢 Active")))</f>
        <v/>
      </c>
      <c r="S125" s="26"/>
      <c r="T125" s="26"/>
      <c r="U125" s="26"/>
      <c r="V125" s="26"/>
      <c r="W125" s="26"/>
      <c r="X125" s="29"/>
      <c r="Y125" s="29"/>
      <c r="Z125" s="29"/>
      <c r="AA125" s="29"/>
      <c r="AB125" s="29"/>
      <c r="AC125" s="29"/>
      <c r="AD125" s="30"/>
      <c r="AE125" s="30"/>
      <c r="AF125" s="30"/>
      <c r="AG125" s="30"/>
      <c r="AH125" s="31"/>
      <c r="AI125" s="31"/>
      <c r="AJ125" s="31"/>
      <c r="AK125" s="31"/>
      <c r="AL125" s="31"/>
      <c r="AM125" s="31"/>
      <c r="AN125" s="26"/>
      <c r="AO125" s="26"/>
      <c r="AP125" s="26"/>
      <c r="AQ125" s="26"/>
      <c r="AR125" s="26"/>
      <c r="AS125" s="26"/>
      <c r="AT125" s="26"/>
      <c r="AU125" s="26"/>
      <c r="AV125" s="32"/>
    </row>
    <row r="126" customFormat="false" ht="15" hidden="false" customHeight="false" outlineLevel="0" collapsed="false">
      <c r="A126" s="24" t="n">
        <v>123</v>
      </c>
      <c r="B126" s="25" t="str">
        <f aca="true">IF(C126="","",IF(E126="","",IFERROR("BTM-"&amp;LEFT(C126,3)&amp;"-"&amp;E126&amp;"-"&amp;TEXT(TODAY(),"YY")&amp;"-"&amp;TEXT(A126,"000"),"")))</f>
        <v/>
      </c>
      <c r="C126" s="26"/>
      <c r="D126" s="26"/>
      <c r="E126" s="26"/>
      <c r="F126" s="26"/>
      <c r="G126" s="26"/>
      <c r="H126" s="26"/>
      <c r="I126" s="26"/>
      <c r="J126" s="27" t="str">
        <f aca="false">IF(F126="","",IF(I126="","",F126*I126))</f>
        <v/>
      </c>
      <c r="K126" s="26"/>
      <c r="L126" s="26"/>
      <c r="M126" s="27" t="str">
        <f aca="false">IF(OR(J126="",L126="",K126=""),"",IFERROR((J126-K126-IF(O126="Adjust in Plan",N126,0))/L126,"-"))</f>
        <v/>
      </c>
      <c r="N126" s="28"/>
      <c r="O126" s="28"/>
      <c r="P126" s="27" t="n">
        <f aca="false">IFERROR(SUMIF(INSTALMENTS!$C:$C,B126,INSTALMENTS!$I:$I),0)</f>
        <v>0</v>
      </c>
      <c r="Q126" s="27" t="str">
        <f aca="false">IF(J126="","",J126-P126)</f>
        <v/>
      </c>
      <c r="R126" s="25" t="str">
        <f aca="true">IF(J126="","",IF(Q126&lt;=0,"✅ Completed",IF(IFERROR(SUMPRODUCT((INSTALMENTS!$C:$C=B126)*(INSTALMENTS!$F:$F&lt;TODAY())*(INSTALMENTS!$I:$I&lt;INSTALMENTS!$H:$H)),0)&gt;0,"🔴 Overdue","🟢 Active")))</f>
        <v/>
      </c>
      <c r="S126" s="26"/>
      <c r="T126" s="26"/>
      <c r="U126" s="26"/>
      <c r="V126" s="26"/>
      <c r="W126" s="26"/>
      <c r="X126" s="29"/>
      <c r="Y126" s="29"/>
      <c r="Z126" s="29"/>
      <c r="AA126" s="29"/>
      <c r="AB126" s="29"/>
      <c r="AC126" s="29"/>
      <c r="AD126" s="30"/>
      <c r="AE126" s="30"/>
      <c r="AF126" s="30"/>
      <c r="AG126" s="30"/>
      <c r="AH126" s="31"/>
      <c r="AI126" s="31"/>
      <c r="AJ126" s="31"/>
      <c r="AK126" s="31"/>
      <c r="AL126" s="31"/>
      <c r="AM126" s="31"/>
      <c r="AN126" s="26"/>
      <c r="AO126" s="26"/>
      <c r="AP126" s="26"/>
      <c r="AQ126" s="26"/>
      <c r="AR126" s="26"/>
      <c r="AS126" s="26"/>
      <c r="AT126" s="26"/>
      <c r="AU126" s="26"/>
      <c r="AV126" s="32"/>
    </row>
    <row r="127" customFormat="false" ht="15" hidden="false" customHeight="false" outlineLevel="0" collapsed="false">
      <c r="A127" s="24" t="n">
        <v>124</v>
      </c>
      <c r="B127" s="25" t="str">
        <f aca="true">IF(C127="","",IF(E127="","",IFERROR("BTM-"&amp;LEFT(C127,3)&amp;"-"&amp;E127&amp;"-"&amp;TEXT(TODAY(),"YY")&amp;"-"&amp;TEXT(A127,"000"),"")))</f>
        <v/>
      </c>
      <c r="C127" s="26"/>
      <c r="D127" s="26"/>
      <c r="E127" s="26"/>
      <c r="F127" s="26"/>
      <c r="G127" s="26"/>
      <c r="H127" s="26"/>
      <c r="I127" s="26"/>
      <c r="J127" s="27" t="str">
        <f aca="false">IF(F127="","",IF(I127="","",F127*I127))</f>
        <v/>
      </c>
      <c r="K127" s="26"/>
      <c r="L127" s="26"/>
      <c r="M127" s="27" t="str">
        <f aca="false">IF(OR(J127="",L127="",K127=""),"",IFERROR((J127-K127-IF(O127="Adjust in Plan",N127,0))/L127,"-"))</f>
        <v/>
      </c>
      <c r="N127" s="28"/>
      <c r="O127" s="28"/>
      <c r="P127" s="27" t="n">
        <f aca="false">IFERROR(SUMIF(INSTALMENTS!$C:$C,B127,INSTALMENTS!$I:$I),0)</f>
        <v>0</v>
      </c>
      <c r="Q127" s="27" t="str">
        <f aca="false">IF(J127="","",J127-P127)</f>
        <v/>
      </c>
      <c r="R127" s="25" t="str">
        <f aca="true">IF(J127="","",IF(Q127&lt;=0,"✅ Completed",IF(IFERROR(SUMPRODUCT((INSTALMENTS!$C:$C=B127)*(INSTALMENTS!$F:$F&lt;TODAY())*(INSTALMENTS!$I:$I&lt;INSTALMENTS!$H:$H)),0)&gt;0,"🔴 Overdue","🟢 Active")))</f>
        <v/>
      </c>
      <c r="S127" s="26"/>
      <c r="T127" s="26"/>
      <c r="U127" s="26"/>
      <c r="V127" s="26"/>
      <c r="W127" s="26"/>
      <c r="X127" s="29"/>
      <c r="Y127" s="29"/>
      <c r="Z127" s="29"/>
      <c r="AA127" s="29"/>
      <c r="AB127" s="29"/>
      <c r="AC127" s="29"/>
      <c r="AD127" s="30"/>
      <c r="AE127" s="30"/>
      <c r="AF127" s="30"/>
      <c r="AG127" s="30"/>
      <c r="AH127" s="31"/>
      <c r="AI127" s="31"/>
      <c r="AJ127" s="31"/>
      <c r="AK127" s="31"/>
      <c r="AL127" s="31"/>
      <c r="AM127" s="31"/>
      <c r="AN127" s="26"/>
      <c r="AO127" s="26"/>
      <c r="AP127" s="26"/>
      <c r="AQ127" s="26"/>
      <c r="AR127" s="26"/>
      <c r="AS127" s="26"/>
      <c r="AT127" s="26"/>
      <c r="AU127" s="26"/>
      <c r="AV127" s="32"/>
    </row>
    <row r="128" customFormat="false" ht="15" hidden="false" customHeight="false" outlineLevel="0" collapsed="false">
      <c r="A128" s="24" t="n">
        <v>125</v>
      </c>
      <c r="B128" s="25" t="str">
        <f aca="true">IF(C128="","",IF(E128="","",IFERROR("BTM-"&amp;LEFT(C128,3)&amp;"-"&amp;E128&amp;"-"&amp;TEXT(TODAY(),"YY")&amp;"-"&amp;TEXT(A128,"000"),"")))</f>
        <v/>
      </c>
      <c r="C128" s="26"/>
      <c r="D128" s="26"/>
      <c r="E128" s="26"/>
      <c r="F128" s="26"/>
      <c r="G128" s="26"/>
      <c r="H128" s="26"/>
      <c r="I128" s="26"/>
      <c r="J128" s="27" t="str">
        <f aca="false">IF(F128="","",IF(I128="","",F128*I128))</f>
        <v/>
      </c>
      <c r="K128" s="26"/>
      <c r="L128" s="26"/>
      <c r="M128" s="27" t="str">
        <f aca="false">IF(OR(J128="",L128="",K128=""),"",IFERROR((J128-K128-IF(O128="Adjust in Plan",N128,0))/L128,"-"))</f>
        <v/>
      </c>
      <c r="N128" s="28"/>
      <c r="O128" s="28"/>
      <c r="P128" s="27" t="n">
        <f aca="false">IFERROR(SUMIF(INSTALMENTS!$C:$C,B128,INSTALMENTS!$I:$I),0)</f>
        <v>0</v>
      </c>
      <c r="Q128" s="27" t="str">
        <f aca="false">IF(J128="","",J128-P128)</f>
        <v/>
      </c>
      <c r="R128" s="25" t="str">
        <f aca="true">IF(J128="","",IF(Q128&lt;=0,"✅ Completed",IF(IFERROR(SUMPRODUCT((INSTALMENTS!$C:$C=B128)*(INSTALMENTS!$F:$F&lt;TODAY())*(INSTALMENTS!$I:$I&lt;INSTALMENTS!$H:$H)),0)&gt;0,"🔴 Overdue","🟢 Active")))</f>
        <v/>
      </c>
      <c r="S128" s="26"/>
      <c r="T128" s="26"/>
      <c r="U128" s="26"/>
      <c r="V128" s="26"/>
      <c r="W128" s="26"/>
      <c r="X128" s="29"/>
      <c r="Y128" s="29"/>
      <c r="Z128" s="29"/>
      <c r="AA128" s="29"/>
      <c r="AB128" s="29"/>
      <c r="AC128" s="29"/>
      <c r="AD128" s="30"/>
      <c r="AE128" s="30"/>
      <c r="AF128" s="30"/>
      <c r="AG128" s="30"/>
      <c r="AH128" s="31"/>
      <c r="AI128" s="31"/>
      <c r="AJ128" s="31"/>
      <c r="AK128" s="31"/>
      <c r="AL128" s="31"/>
      <c r="AM128" s="31"/>
      <c r="AN128" s="26"/>
      <c r="AO128" s="26"/>
      <c r="AP128" s="26"/>
      <c r="AQ128" s="26"/>
      <c r="AR128" s="26"/>
      <c r="AS128" s="26"/>
      <c r="AT128" s="26"/>
      <c r="AU128" s="26"/>
      <c r="AV128" s="32"/>
    </row>
    <row r="129" customFormat="false" ht="15" hidden="false" customHeight="false" outlineLevel="0" collapsed="false">
      <c r="A129" s="24" t="n">
        <v>126</v>
      </c>
      <c r="B129" s="25" t="str">
        <f aca="true">IF(C129="","",IF(E129="","",IFERROR("BTM-"&amp;LEFT(C129,3)&amp;"-"&amp;E129&amp;"-"&amp;TEXT(TODAY(),"YY")&amp;"-"&amp;TEXT(A129,"000"),"")))</f>
        <v/>
      </c>
      <c r="C129" s="26"/>
      <c r="D129" s="26"/>
      <c r="E129" s="26"/>
      <c r="F129" s="26"/>
      <c r="G129" s="26"/>
      <c r="H129" s="26"/>
      <c r="I129" s="26"/>
      <c r="J129" s="27" t="str">
        <f aca="false">IF(F129="","",IF(I129="","",F129*I129))</f>
        <v/>
      </c>
      <c r="K129" s="26"/>
      <c r="L129" s="26"/>
      <c r="M129" s="27" t="str">
        <f aca="false">IF(OR(J129="",L129="",K129=""),"",IFERROR((J129-K129-IF(O129="Adjust in Plan",N129,0))/L129,"-"))</f>
        <v/>
      </c>
      <c r="N129" s="28"/>
      <c r="O129" s="28"/>
      <c r="P129" s="27" t="n">
        <f aca="false">IFERROR(SUMIF(INSTALMENTS!$C:$C,B129,INSTALMENTS!$I:$I),0)</f>
        <v>0</v>
      </c>
      <c r="Q129" s="27" t="str">
        <f aca="false">IF(J129="","",J129-P129)</f>
        <v/>
      </c>
      <c r="R129" s="25" t="str">
        <f aca="true">IF(J129="","",IF(Q129&lt;=0,"✅ Completed",IF(IFERROR(SUMPRODUCT((INSTALMENTS!$C:$C=B129)*(INSTALMENTS!$F:$F&lt;TODAY())*(INSTALMENTS!$I:$I&lt;INSTALMENTS!$H:$H)),0)&gt;0,"🔴 Overdue","🟢 Active")))</f>
        <v/>
      </c>
      <c r="S129" s="26"/>
      <c r="T129" s="26"/>
      <c r="U129" s="26"/>
      <c r="V129" s="26"/>
      <c r="W129" s="26"/>
      <c r="X129" s="29"/>
      <c r="Y129" s="29"/>
      <c r="Z129" s="29"/>
      <c r="AA129" s="29"/>
      <c r="AB129" s="29"/>
      <c r="AC129" s="29"/>
      <c r="AD129" s="30"/>
      <c r="AE129" s="30"/>
      <c r="AF129" s="30"/>
      <c r="AG129" s="30"/>
      <c r="AH129" s="31"/>
      <c r="AI129" s="31"/>
      <c r="AJ129" s="31"/>
      <c r="AK129" s="31"/>
      <c r="AL129" s="31"/>
      <c r="AM129" s="31"/>
      <c r="AN129" s="26"/>
      <c r="AO129" s="26"/>
      <c r="AP129" s="26"/>
      <c r="AQ129" s="26"/>
      <c r="AR129" s="26"/>
      <c r="AS129" s="26"/>
      <c r="AT129" s="26"/>
      <c r="AU129" s="26"/>
      <c r="AV129" s="32"/>
    </row>
    <row r="130" customFormat="false" ht="15" hidden="false" customHeight="false" outlineLevel="0" collapsed="false">
      <c r="A130" s="24" t="n">
        <v>127</v>
      </c>
      <c r="B130" s="25" t="str">
        <f aca="true">IF(C130="","",IF(E130="","",IFERROR("BTM-"&amp;LEFT(C130,3)&amp;"-"&amp;E130&amp;"-"&amp;TEXT(TODAY(),"YY")&amp;"-"&amp;TEXT(A130,"000"),"")))</f>
        <v/>
      </c>
      <c r="C130" s="26"/>
      <c r="D130" s="26"/>
      <c r="E130" s="26"/>
      <c r="F130" s="26"/>
      <c r="G130" s="26"/>
      <c r="H130" s="26"/>
      <c r="I130" s="26"/>
      <c r="J130" s="27" t="str">
        <f aca="false">IF(F130="","",IF(I130="","",F130*I130))</f>
        <v/>
      </c>
      <c r="K130" s="26"/>
      <c r="L130" s="26"/>
      <c r="M130" s="27" t="str">
        <f aca="false">IF(OR(J130="",L130="",K130=""),"",IFERROR((J130-K130-IF(O130="Adjust in Plan",N130,0))/L130,"-"))</f>
        <v/>
      </c>
      <c r="N130" s="28"/>
      <c r="O130" s="28"/>
      <c r="P130" s="27" t="n">
        <f aca="false">IFERROR(SUMIF(INSTALMENTS!$C:$C,B130,INSTALMENTS!$I:$I),0)</f>
        <v>0</v>
      </c>
      <c r="Q130" s="27" t="str">
        <f aca="false">IF(J130="","",J130-P130)</f>
        <v/>
      </c>
      <c r="R130" s="25" t="str">
        <f aca="true">IF(J130="","",IF(Q130&lt;=0,"✅ Completed",IF(IFERROR(SUMPRODUCT((INSTALMENTS!$C:$C=B130)*(INSTALMENTS!$F:$F&lt;TODAY())*(INSTALMENTS!$I:$I&lt;INSTALMENTS!$H:$H)),0)&gt;0,"🔴 Overdue","🟢 Active")))</f>
        <v/>
      </c>
      <c r="S130" s="26"/>
      <c r="T130" s="26"/>
      <c r="U130" s="26"/>
      <c r="V130" s="26"/>
      <c r="W130" s="26"/>
      <c r="X130" s="29"/>
      <c r="Y130" s="29"/>
      <c r="Z130" s="29"/>
      <c r="AA130" s="29"/>
      <c r="AB130" s="29"/>
      <c r="AC130" s="29"/>
      <c r="AD130" s="30"/>
      <c r="AE130" s="30"/>
      <c r="AF130" s="30"/>
      <c r="AG130" s="30"/>
      <c r="AH130" s="31"/>
      <c r="AI130" s="31"/>
      <c r="AJ130" s="31"/>
      <c r="AK130" s="31"/>
      <c r="AL130" s="31"/>
      <c r="AM130" s="31"/>
      <c r="AN130" s="26"/>
      <c r="AO130" s="26"/>
      <c r="AP130" s="26"/>
      <c r="AQ130" s="26"/>
      <c r="AR130" s="26"/>
      <c r="AS130" s="26"/>
      <c r="AT130" s="26"/>
      <c r="AU130" s="26"/>
      <c r="AV130" s="32"/>
    </row>
    <row r="131" customFormat="false" ht="15" hidden="false" customHeight="false" outlineLevel="0" collapsed="false">
      <c r="A131" s="24" t="n">
        <v>128</v>
      </c>
      <c r="B131" s="25" t="str">
        <f aca="true">IF(C131="","",IF(E131="","",IFERROR("BTM-"&amp;LEFT(C131,3)&amp;"-"&amp;E131&amp;"-"&amp;TEXT(TODAY(),"YY")&amp;"-"&amp;TEXT(A131,"000"),"")))</f>
        <v/>
      </c>
      <c r="C131" s="26"/>
      <c r="D131" s="26"/>
      <c r="E131" s="26"/>
      <c r="F131" s="26"/>
      <c r="G131" s="26"/>
      <c r="H131" s="26"/>
      <c r="I131" s="26"/>
      <c r="J131" s="27" t="str">
        <f aca="false">IF(F131="","",IF(I131="","",F131*I131))</f>
        <v/>
      </c>
      <c r="K131" s="26"/>
      <c r="L131" s="26"/>
      <c r="M131" s="27" t="str">
        <f aca="false">IF(OR(J131="",L131="",K131=""),"",IFERROR((J131-K131-IF(O131="Adjust in Plan",N131,0))/L131,"-"))</f>
        <v/>
      </c>
      <c r="N131" s="28"/>
      <c r="O131" s="28"/>
      <c r="P131" s="27" t="n">
        <f aca="false">IFERROR(SUMIF(INSTALMENTS!$C:$C,B131,INSTALMENTS!$I:$I),0)</f>
        <v>0</v>
      </c>
      <c r="Q131" s="27" t="str">
        <f aca="false">IF(J131="","",J131-P131)</f>
        <v/>
      </c>
      <c r="R131" s="25" t="str">
        <f aca="true">IF(J131="","",IF(Q131&lt;=0,"✅ Completed",IF(IFERROR(SUMPRODUCT((INSTALMENTS!$C:$C=B131)*(INSTALMENTS!$F:$F&lt;TODAY())*(INSTALMENTS!$I:$I&lt;INSTALMENTS!$H:$H)),0)&gt;0,"🔴 Overdue","🟢 Active")))</f>
        <v/>
      </c>
      <c r="S131" s="26"/>
      <c r="T131" s="26"/>
      <c r="U131" s="26"/>
      <c r="V131" s="26"/>
      <c r="W131" s="26"/>
      <c r="X131" s="29"/>
      <c r="Y131" s="29"/>
      <c r="Z131" s="29"/>
      <c r="AA131" s="29"/>
      <c r="AB131" s="29"/>
      <c r="AC131" s="29"/>
      <c r="AD131" s="30"/>
      <c r="AE131" s="30"/>
      <c r="AF131" s="30"/>
      <c r="AG131" s="30"/>
      <c r="AH131" s="31"/>
      <c r="AI131" s="31"/>
      <c r="AJ131" s="31"/>
      <c r="AK131" s="31"/>
      <c r="AL131" s="31"/>
      <c r="AM131" s="31"/>
      <c r="AN131" s="26"/>
      <c r="AO131" s="26"/>
      <c r="AP131" s="26"/>
      <c r="AQ131" s="26"/>
      <c r="AR131" s="26"/>
      <c r="AS131" s="26"/>
      <c r="AT131" s="26"/>
      <c r="AU131" s="26"/>
      <c r="AV131" s="32"/>
    </row>
    <row r="132" customFormat="false" ht="15" hidden="false" customHeight="false" outlineLevel="0" collapsed="false">
      <c r="A132" s="24" t="n">
        <v>129</v>
      </c>
      <c r="B132" s="25" t="str">
        <f aca="true">IF(C132="","",IF(E132="","",IFERROR("BTM-"&amp;LEFT(C132,3)&amp;"-"&amp;E132&amp;"-"&amp;TEXT(TODAY(),"YY")&amp;"-"&amp;TEXT(A132,"000"),"")))</f>
        <v/>
      </c>
      <c r="C132" s="26"/>
      <c r="D132" s="26"/>
      <c r="E132" s="26"/>
      <c r="F132" s="26"/>
      <c r="G132" s="26"/>
      <c r="H132" s="26"/>
      <c r="I132" s="26"/>
      <c r="J132" s="27" t="str">
        <f aca="false">IF(F132="","",IF(I132="","",F132*I132))</f>
        <v/>
      </c>
      <c r="K132" s="26"/>
      <c r="L132" s="26"/>
      <c r="M132" s="27" t="str">
        <f aca="false">IF(OR(J132="",L132="",K132=""),"",IFERROR((J132-K132-IF(O132="Adjust in Plan",N132,0))/L132,"-"))</f>
        <v/>
      </c>
      <c r="N132" s="28"/>
      <c r="O132" s="28"/>
      <c r="P132" s="27" t="n">
        <f aca="false">IFERROR(SUMIF(INSTALMENTS!$C:$C,B132,INSTALMENTS!$I:$I),0)</f>
        <v>0</v>
      </c>
      <c r="Q132" s="27" t="str">
        <f aca="false">IF(J132="","",J132-P132)</f>
        <v/>
      </c>
      <c r="R132" s="25" t="str">
        <f aca="true">IF(J132="","",IF(Q132&lt;=0,"✅ Completed",IF(IFERROR(SUMPRODUCT((INSTALMENTS!$C:$C=B132)*(INSTALMENTS!$F:$F&lt;TODAY())*(INSTALMENTS!$I:$I&lt;INSTALMENTS!$H:$H)),0)&gt;0,"🔴 Overdue","🟢 Active")))</f>
        <v/>
      </c>
      <c r="S132" s="26"/>
      <c r="T132" s="26"/>
      <c r="U132" s="26"/>
      <c r="V132" s="26"/>
      <c r="W132" s="26"/>
      <c r="X132" s="29"/>
      <c r="Y132" s="29"/>
      <c r="Z132" s="29"/>
      <c r="AA132" s="29"/>
      <c r="AB132" s="29"/>
      <c r="AC132" s="29"/>
      <c r="AD132" s="30"/>
      <c r="AE132" s="30"/>
      <c r="AF132" s="30"/>
      <c r="AG132" s="30"/>
      <c r="AH132" s="31"/>
      <c r="AI132" s="31"/>
      <c r="AJ132" s="31"/>
      <c r="AK132" s="31"/>
      <c r="AL132" s="31"/>
      <c r="AM132" s="31"/>
      <c r="AN132" s="26"/>
      <c r="AO132" s="26"/>
      <c r="AP132" s="26"/>
      <c r="AQ132" s="26"/>
      <c r="AR132" s="26"/>
      <c r="AS132" s="26"/>
      <c r="AT132" s="26"/>
      <c r="AU132" s="26"/>
      <c r="AV132" s="32"/>
    </row>
    <row r="133" customFormat="false" ht="15" hidden="false" customHeight="false" outlineLevel="0" collapsed="false">
      <c r="A133" s="24" t="n">
        <v>130</v>
      </c>
      <c r="B133" s="25" t="str">
        <f aca="true">IF(C133="","",IF(E133="","",IFERROR("BTM-"&amp;LEFT(C133,3)&amp;"-"&amp;E133&amp;"-"&amp;TEXT(TODAY(),"YY")&amp;"-"&amp;TEXT(A133,"000"),"")))</f>
        <v/>
      </c>
      <c r="C133" s="26"/>
      <c r="D133" s="26"/>
      <c r="E133" s="26"/>
      <c r="F133" s="26"/>
      <c r="G133" s="26"/>
      <c r="H133" s="26"/>
      <c r="I133" s="26"/>
      <c r="J133" s="27" t="str">
        <f aca="false">IF(F133="","",IF(I133="","",F133*I133))</f>
        <v/>
      </c>
      <c r="K133" s="26"/>
      <c r="L133" s="26"/>
      <c r="M133" s="27" t="str">
        <f aca="false">IF(OR(J133="",L133="",K133=""),"",IFERROR((J133-K133-IF(O133="Adjust in Plan",N133,0))/L133,"-"))</f>
        <v/>
      </c>
      <c r="N133" s="28"/>
      <c r="O133" s="28"/>
      <c r="P133" s="27" t="n">
        <f aca="false">IFERROR(SUMIF(INSTALMENTS!$C:$C,B133,INSTALMENTS!$I:$I),0)</f>
        <v>0</v>
      </c>
      <c r="Q133" s="27" t="str">
        <f aca="false">IF(J133="","",J133-P133)</f>
        <v/>
      </c>
      <c r="R133" s="25" t="str">
        <f aca="true">IF(J133="","",IF(Q133&lt;=0,"✅ Completed",IF(IFERROR(SUMPRODUCT((INSTALMENTS!$C:$C=B133)*(INSTALMENTS!$F:$F&lt;TODAY())*(INSTALMENTS!$I:$I&lt;INSTALMENTS!$H:$H)),0)&gt;0,"🔴 Overdue","🟢 Active")))</f>
        <v/>
      </c>
      <c r="S133" s="26"/>
      <c r="T133" s="26"/>
      <c r="U133" s="26"/>
      <c r="V133" s="26"/>
      <c r="W133" s="26"/>
      <c r="X133" s="29"/>
      <c r="Y133" s="29"/>
      <c r="Z133" s="29"/>
      <c r="AA133" s="29"/>
      <c r="AB133" s="29"/>
      <c r="AC133" s="29"/>
      <c r="AD133" s="30"/>
      <c r="AE133" s="30"/>
      <c r="AF133" s="30"/>
      <c r="AG133" s="30"/>
      <c r="AH133" s="31"/>
      <c r="AI133" s="31"/>
      <c r="AJ133" s="31"/>
      <c r="AK133" s="31"/>
      <c r="AL133" s="31"/>
      <c r="AM133" s="31"/>
      <c r="AN133" s="26"/>
      <c r="AO133" s="26"/>
      <c r="AP133" s="26"/>
      <c r="AQ133" s="26"/>
      <c r="AR133" s="26"/>
      <c r="AS133" s="26"/>
      <c r="AT133" s="26"/>
      <c r="AU133" s="26"/>
      <c r="AV133" s="32"/>
    </row>
    <row r="134" customFormat="false" ht="15" hidden="false" customHeight="false" outlineLevel="0" collapsed="false">
      <c r="A134" s="24" t="n">
        <v>131</v>
      </c>
      <c r="B134" s="25" t="str">
        <f aca="true">IF(C134="","",IF(E134="","",IFERROR("BTM-"&amp;LEFT(C134,3)&amp;"-"&amp;E134&amp;"-"&amp;TEXT(TODAY(),"YY")&amp;"-"&amp;TEXT(A134,"000"),"")))</f>
        <v/>
      </c>
      <c r="C134" s="26"/>
      <c r="D134" s="26"/>
      <c r="E134" s="26"/>
      <c r="F134" s="26"/>
      <c r="G134" s="26"/>
      <c r="H134" s="26"/>
      <c r="I134" s="26"/>
      <c r="J134" s="27" t="str">
        <f aca="false">IF(F134="","",IF(I134="","",F134*I134))</f>
        <v/>
      </c>
      <c r="K134" s="26"/>
      <c r="L134" s="26"/>
      <c r="M134" s="27" t="str">
        <f aca="false">IF(OR(J134="",L134="",K134=""),"",IFERROR((J134-K134-IF(O134="Adjust in Plan",N134,0))/L134,"-"))</f>
        <v/>
      </c>
      <c r="N134" s="28"/>
      <c r="O134" s="28"/>
      <c r="P134" s="27" t="n">
        <f aca="false">IFERROR(SUMIF(INSTALMENTS!$C:$C,B134,INSTALMENTS!$I:$I),0)</f>
        <v>0</v>
      </c>
      <c r="Q134" s="27" t="str">
        <f aca="false">IF(J134="","",J134-P134)</f>
        <v/>
      </c>
      <c r="R134" s="25" t="str">
        <f aca="true">IF(J134="","",IF(Q134&lt;=0,"✅ Completed",IF(IFERROR(SUMPRODUCT((INSTALMENTS!$C:$C=B134)*(INSTALMENTS!$F:$F&lt;TODAY())*(INSTALMENTS!$I:$I&lt;INSTALMENTS!$H:$H)),0)&gt;0,"🔴 Overdue","🟢 Active")))</f>
        <v/>
      </c>
      <c r="S134" s="26"/>
      <c r="T134" s="26"/>
      <c r="U134" s="26"/>
      <c r="V134" s="26"/>
      <c r="W134" s="26"/>
      <c r="X134" s="29"/>
      <c r="Y134" s="29"/>
      <c r="Z134" s="29"/>
      <c r="AA134" s="29"/>
      <c r="AB134" s="29"/>
      <c r="AC134" s="29"/>
      <c r="AD134" s="30"/>
      <c r="AE134" s="30"/>
      <c r="AF134" s="30"/>
      <c r="AG134" s="30"/>
      <c r="AH134" s="31"/>
      <c r="AI134" s="31"/>
      <c r="AJ134" s="31"/>
      <c r="AK134" s="31"/>
      <c r="AL134" s="31"/>
      <c r="AM134" s="31"/>
      <c r="AN134" s="26"/>
      <c r="AO134" s="26"/>
      <c r="AP134" s="26"/>
      <c r="AQ134" s="26"/>
      <c r="AR134" s="26"/>
      <c r="AS134" s="26"/>
      <c r="AT134" s="26"/>
      <c r="AU134" s="26"/>
      <c r="AV134" s="32"/>
    </row>
    <row r="135" customFormat="false" ht="15" hidden="false" customHeight="false" outlineLevel="0" collapsed="false">
      <c r="A135" s="24" t="n">
        <v>132</v>
      </c>
      <c r="B135" s="25" t="str">
        <f aca="true">IF(C135="","",IF(E135="","",IFERROR("BTM-"&amp;LEFT(C135,3)&amp;"-"&amp;E135&amp;"-"&amp;TEXT(TODAY(),"YY")&amp;"-"&amp;TEXT(A135,"000"),"")))</f>
        <v/>
      </c>
      <c r="C135" s="26"/>
      <c r="D135" s="26"/>
      <c r="E135" s="26"/>
      <c r="F135" s="26"/>
      <c r="G135" s="26"/>
      <c r="H135" s="26"/>
      <c r="I135" s="26"/>
      <c r="J135" s="27" t="str">
        <f aca="false">IF(F135="","",IF(I135="","",F135*I135))</f>
        <v/>
      </c>
      <c r="K135" s="26"/>
      <c r="L135" s="26"/>
      <c r="M135" s="27" t="str">
        <f aca="false">IF(OR(J135="",L135="",K135=""),"",IFERROR((J135-K135-IF(O135="Adjust in Plan",N135,0))/L135,"-"))</f>
        <v/>
      </c>
      <c r="N135" s="28"/>
      <c r="O135" s="28"/>
      <c r="P135" s="27" t="n">
        <f aca="false">IFERROR(SUMIF(INSTALMENTS!$C:$C,B135,INSTALMENTS!$I:$I),0)</f>
        <v>0</v>
      </c>
      <c r="Q135" s="27" t="str">
        <f aca="false">IF(J135="","",J135-P135)</f>
        <v/>
      </c>
      <c r="R135" s="25" t="str">
        <f aca="true">IF(J135="","",IF(Q135&lt;=0,"✅ Completed",IF(IFERROR(SUMPRODUCT((INSTALMENTS!$C:$C=B135)*(INSTALMENTS!$F:$F&lt;TODAY())*(INSTALMENTS!$I:$I&lt;INSTALMENTS!$H:$H)),0)&gt;0,"🔴 Overdue","🟢 Active")))</f>
        <v/>
      </c>
      <c r="S135" s="26"/>
      <c r="T135" s="26"/>
      <c r="U135" s="26"/>
      <c r="V135" s="26"/>
      <c r="W135" s="26"/>
      <c r="X135" s="29"/>
      <c r="Y135" s="29"/>
      <c r="Z135" s="29"/>
      <c r="AA135" s="29"/>
      <c r="AB135" s="29"/>
      <c r="AC135" s="29"/>
      <c r="AD135" s="30"/>
      <c r="AE135" s="30"/>
      <c r="AF135" s="30"/>
      <c r="AG135" s="30"/>
      <c r="AH135" s="31"/>
      <c r="AI135" s="31"/>
      <c r="AJ135" s="31"/>
      <c r="AK135" s="31"/>
      <c r="AL135" s="31"/>
      <c r="AM135" s="31"/>
      <c r="AN135" s="26"/>
      <c r="AO135" s="26"/>
      <c r="AP135" s="26"/>
      <c r="AQ135" s="26"/>
      <c r="AR135" s="26"/>
      <c r="AS135" s="26"/>
      <c r="AT135" s="26"/>
      <c r="AU135" s="26"/>
      <c r="AV135" s="32"/>
    </row>
    <row r="136" customFormat="false" ht="15" hidden="false" customHeight="false" outlineLevel="0" collapsed="false">
      <c r="A136" s="24" t="n">
        <v>133</v>
      </c>
      <c r="B136" s="25" t="str">
        <f aca="true">IF(C136="","",IF(E136="","",IFERROR("BTM-"&amp;LEFT(C136,3)&amp;"-"&amp;E136&amp;"-"&amp;TEXT(TODAY(),"YY")&amp;"-"&amp;TEXT(A136,"000"),"")))</f>
        <v/>
      </c>
      <c r="C136" s="26"/>
      <c r="D136" s="26"/>
      <c r="E136" s="26"/>
      <c r="F136" s="26"/>
      <c r="G136" s="26"/>
      <c r="H136" s="26"/>
      <c r="I136" s="26"/>
      <c r="J136" s="27" t="str">
        <f aca="false">IF(F136="","",IF(I136="","",F136*I136))</f>
        <v/>
      </c>
      <c r="K136" s="26"/>
      <c r="L136" s="26"/>
      <c r="M136" s="27" t="str">
        <f aca="false">IF(OR(J136="",L136="",K136=""),"",IFERROR((J136-K136-IF(O136="Adjust in Plan",N136,0))/L136,"-"))</f>
        <v/>
      </c>
      <c r="N136" s="28"/>
      <c r="O136" s="28"/>
      <c r="P136" s="27" t="n">
        <f aca="false">IFERROR(SUMIF(INSTALMENTS!$C:$C,B136,INSTALMENTS!$I:$I),0)</f>
        <v>0</v>
      </c>
      <c r="Q136" s="27" t="str">
        <f aca="false">IF(J136="","",J136-P136)</f>
        <v/>
      </c>
      <c r="R136" s="25" t="str">
        <f aca="true">IF(J136="","",IF(Q136&lt;=0,"✅ Completed",IF(IFERROR(SUMPRODUCT((INSTALMENTS!$C:$C=B136)*(INSTALMENTS!$F:$F&lt;TODAY())*(INSTALMENTS!$I:$I&lt;INSTALMENTS!$H:$H)),0)&gt;0,"🔴 Overdue","🟢 Active")))</f>
        <v/>
      </c>
      <c r="S136" s="26"/>
      <c r="T136" s="26"/>
      <c r="U136" s="26"/>
      <c r="V136" s="26"/>
      <c r="W136" s="26"/>
      <c r="X136" s="29"/>
      <c r="Y136" s="29"/>
      <c r="Z136" s="29"/>
      <c r="AA136" s="29"/>
      <c r="AB136" s="29"/>
      <c r="AC136" s="29"/>
      <c r="AD136" s="30"/>
      <c r="AE136" s="30"/>
      <c r="AF136" s="30"/>
      <c r="AG136" s="30"/>
      <c r="AH136" s="31"/>
      <c r="AI136" s="31"/>
      <c r="AJ136" s="31"/>
      <c r="AK136" s="31"/>
      <c r="AL136" s="31"/>
      <c r="AM136" s="31"/>
      <c r="AN136" s="26"/>
      <c r="AO136" s="26"/>
      <c r="AP136" s="26"/>
      <c r="AQ136" s="26"/>
      <c r="AR136" s="26"/>
      <c r="AS136" s="26"/>
      <c r="AT136" s="26"/>
      <c r="AU136" s="26"/>
      <c r="AV136" s="32"/>
    </row>
    <row r="137" customFormat="false" ht="15" hidden="false" customHeight="false" outlineLevel="0" collapsed="false">
      <c r="A137" s="24" t="n">
        <v>134</v>
      </c>
      <c r="B137" s="25" t="str">
        <f aca="true">IF(C137="","",IF(E137="","",IFERROR("BTM-"&amp;LEFT(C137,3)&amp;"-"&amp;E137&amp;"-"&amp;TEXT(TODAY(),"YY")&amp;"-"&amp;TEXT(A137,"000"),"")))</f>
        <v/>
      </c>
      <c r="C137" s="26"/>
      <c r="D137" s="26"/>
      <c r="E137" s="26"/>
      <c r="F137" s="26"/>
      <c r="G137" s="26"/>
      <c r="H137" s="26"/>
      <c r="I137" s="26"/>
      <c r="J137" s="27" t="str">
        <f aca="false">IF(F137="","",IF(I137="","",F137*I137))</f>
        <v/>
      </c>
      <c r="K137" s="26"/>
      <c r="L137" s="26"/>
      <c r="M137" s="27" t="str">
        <f aca="false">IF(OR(J137="",L137="",K137=""),"",IFERROR((J137-K137-IF(O137="Adjust in Plan",N137,0))/L137,"-"))</f>
        <v/>
      </c>
      <c r="N137" s="28"/>
      <c r="O137" s="28"/>
      <c r="P137" s="27" t="n">
        <f aca="false">IFERROR(SUMIF(INSTALMENTS!$C:$C,B137,INSTALMENTS!$I:$I),0)</f>
        <v>0</v>
      </c>
      <c r="Q137" s="27" t="str">
        <f aca="false">IF(J137="","",J137-P137)</f>
        <v/>
      </c>
      <c r="R137" s="25" t="str">
        <f aca="true">IF(J137="","",IF(Q137&lt;=0,"✅ Completed",IF(IFERROR(SUMPRODUCT((INSTALMENTS!$C:$C=B137)*(INSTALMENTS!$F:$F&lt;TODAY())*(INSTALMENTS!$I:$I&lt;INSTALMENTS!$H:$H)),0)&gt;0,"🔴 Overdue","🟢 Active")))</f>
        <v/>
      </c>
      <c r="S137" s="26"/>
      <c r="T137" s="26"/>
      <c r="U137" s="26"/>
      <c r="V137" s="26"/>
      <c r="W137" s="26"/>
      <c r="X137" s="29"/>
      <c r="Y137" s="29"/>
      <c r="Z137" s="29"/>
      <c r="AA137" s="29"/>
      <c r="AB137" s="29"/>
      <c r="AC137" s="29"/>
      <c r="AD137" s="30"/>
      <c r="AE137" s="30"/>
      <c r="AF137" s="30"/>
      <c r="AG137" s="30"/>
      <c r="AH137" s="31"/>
      <c r="AI137" s="31"/>
      <c r="AJ137" s="31"/>
      <c r="AK137" s="31"/>
      <c r="AL137" s="31"/>
      <c r="AM137" s="31"/>
      <c r="AN137" s="26"/>
      <c r="AO137" s="26"/>
      <c r="AP137" s="26"/>
      <c r="AQ137" s="26"/>
      <c r="AR137" s="26"/>
      <c r="AS137" s="26"/>
      <c r="AT137" s="26"/>
      <c r="AU137" s="26"/>
      <c r="AV137" s="32"/>
    </row>
    <row r="138" customFormat="false" ht="15" hidden="false" customHeight="false" outlineLevel="0" collapsed="false">
      <c r="A138" s="24" t="n">
        <v>135</v>
      </c>
      <c r="B138" s="25" t="str">
        <f aca="true">IF(C138="","",IF(E138="","",IFERROR("BTM-"&amp;LEFT(C138,3)&amp;"-"&amp;E138&amp;"-"&amp;TEXT(TODAY(),"YY")&amp;"-"&amp;TEXT(A138,"000"),"")))</f>
        <v/>
      </c>
      <c r="C138" s="26"/>
      <c r="D138" s="26"/>
      <c r="E138" s="26"/>
      <c r="F138" s="26"/>
      <c r="G138" s="26"/>
      <c r="H138" s="26"/>
      <c r="I138" s="26"/>
      <c r="J138" s="27" t="str">
        <f aca="false">IF(F138="","",IF(I138="","",F138*I138))</f>
        <v/>
      </c>
      <c r="K138" s="26"/>
      <c r="L138" s="26"/>
      <c r="M138" s="27" t="str">
        <f aca="false">IF(OR(J138="",L138="",K138=""),"",IFERROR((J138-K138-IF(O138="Adjust in Plan",N138,0))/L138,"-"))</f>
        <v/>
      </c>
      <c r="N138" s="28"/>
      <c r="O138" s="28"/>
      <c r="P138" s="27" t="n">
        <f aca="false">IFERROR(SUMIF(INSTALMENTS!$C:$C,B138,INSTALMENTS!$I:$I),0)</f>
        <v>0</v>
      </c>
      <c r="Q138" s="27" t="str">
        <f aca="false">IF(J138="","",J138-P138)</f>
        <v/>
      </c>
      <c r="R138" s="25" t="str">
        <f aca="true">IF(J138="","",IF(Q138&lt;=0,"✅ Completed",IF(IFERROR(SUMPRODUCT((INSTALMENTS!$C:$C=B138)*(INSTALMENTS!$F:$F&lt;TODAY())*(INSTALMENTS!$I:$I&lt;INSTALMENTS!$H:$H)),0)&gt;0,"🔴 Overdue","🟢 Active")))</f>
        <v/>
      </c>
      <c r="S138" s="26"/>
      <c r="T138" s="26"/>
      <c r="U138" s="26"/>
      <c r="V138" s="26"/>
      <c r="W138" s="26"/>
      <c r="X138" s="29"/>
      <c r="Y138" s="29"/>
      <c r="Z138" s="29"/>
      <c r="AA138" s="29"/>
      <c r="AB138" s="29"/>
      <c r="AC138" s="29"/>
      <c r="AD138" s="30"/>
      <c r="AE138" s="30"/>
      <c r="AF138" s="30"/>
      <c r="AG138" s="30"/>
      <c r="AH138" s="31"/>
      <c r="AI138" s="31"/>
      <c r="AJ138" s="31"/>
      <c r="AK138" s="31"/>
      <c r="AL138" s="31"/>
      <c r="AM138" s="31"/>
      <c r="AN138" s="26"/>
      <c r="AO138" s="26"/>
      <c r="AP138" s="26"/>
      <c r="AQ138" s="26"/>
      <c r="AR138" s="26"/>
      <c r="AS138" s="26"/>
      <c r="AT138" s="26"/>
      <c r="AU138" s="26"/>
      <c r="AV138" s="32"/>
    </row>
    <row r="139" customFormat="false" ht="15" hidden="false" customHeight="false" outlineLevel="0" collapsed="false">
      <c r="A139" s="24" t="n">
        <v>136</v>
      </c>
      <c r="B139" s="25" t="str">
        <f aca="true">IF(C139="","",IF(E139="","",IFERROR("BTM-"&amp;LEFT(C139,3)&amp;"-"&amp;E139&amp;"-"&amp;TEXT(TODAY(),"YY")&amp;"-"&amp;TEXT(A139,"000"),"")))</f>
        <v/>
      </c>
      <c r="C139" s="26"/>
      <c r="D139" s="26"/>
      <c r="E139" s="26"/>
      <c r="F139" s="26"/>
      <c r="G139" s="26"/>
      <c r="H139" s="26"/>
      <c r="I139" s="26"/>
      <c r="J139" s="27" t="str">
        <f aca="false">IF(F139="","",IF(I139="","",F139*I139))</f>
        <v/>
      </c>
      <c r="K139" s="26"/>
      <c r="L139" s="26"/>
      <c r="M139" s="27" t="str">
        <f aca="false">IF(OR(J139="",L139="",K139=""),"",IFERROR((J139-K139-IF(O139="Adjust in Plan",N139,0))/L139,"-"))</f>
        <v/>
      </c>
      <c r="N139" s="28"/>
      <c r="O139" s="28"/>
      <c r="P139" s="27" t="n">
        <f aca="false">IFERROR(SUMIF(INSTALMENTS!$C:$C,B139,INSTALMENTS!$I:$I),0)</f>
        <v>0</v>
      </c>
      <c r="Q139" s="27" t="str">
        <f aca="false">IF(J139="","",J139-P139)</f>
        <v/>
      </c>
      <c r="R139" s="25" t="str">
        <f aca="true">IF(J139="","",IF(Q139&lt;=0,"✅ Completed",IF(IFERROR(SUMPRODUCT((INSTALMENTS!$C:$C=B139)*(INSTALMENTS!$F:$F&lt;TODAY())*(INSTALMENTS!$I:$I&lt;INSTALMENTS!$H:$H)),0)&gt;0,"🔴 Overdue","🟢 Active")))</f>
        <v/>
      </c>
      <c r="S139" s="26"/>
      <c r="T139" s="26"/>
      <c r="U139" s="26"/>
      <c r="V139" s="26"/>
      <c r="W139" s="26"/>
      <c r="X139" s="29"/>
      <c r="Y139" s="29"/>
      <c r="Z139" s="29"/>
      <c r="AA139" s="29"/>
      <c r="AB139" s="29"/>
      <c r="AC139" s="29"/>
      <c r="AD139" s="30"/>
      <c r="AE139" s="30"/>
      <c r="AF139" s="30"/>
      <c r="AG139" s="30"/>
      <c r="AH139" s="31"/>
      <c r="AI139" s="31"/>
      <c r="AJ139" s="31"/>
      <c r="AK139" s="31"/>
      <c r="AL139" s="31"/>
      <c r="AM139" s="31"/>
      <c r="AN139" s="26"/>
      <c r="AO139" s="26"/>
      <c r="AP139" s="26"/>
      <c r="AQ139" s="26"/>
      <c r="AR139" s="26"/>
      <c r="AS139" s="26"/>
      <c r="AT139" s="26"/>
      <c r="AU139" s="26"/>
      <c r="AV139" s="32"/>
    </row>
    <row r="140" customFormat="false" ht="15" hidden="false" customHeight="false" outlineLevel="0" collapsed="false">
      <c r="A140" s="24" t="n">
        <v>137</v>
      </c>
      <c r="B140" s="25" t="str">
        <f aca="true">IF(C140="","",IF(E140="","",IFERROR("BTM-"&amp;LEFT(C140,3)&amp;"-"&amp;E140&amp;"-"&amp;TEXT(TODAY(),"YY")&amp;"-"&amp;TEXT(A140,"000"),"")))</f>
        <v/>
      </c>
      <c r="C140" s="26"/>
      <c r="D140" s="26"/>
      <c r="E140" s="26"/>
      <c r="F140" s="26"/>
      <c r="G140" s="26"/>
      <c r="H140" s="26"/>
      <c r="I140" s="26"/>
      <c r="J140" s="27" t="str">
        <f aca="false">IF(F140="","",IF(I140="","",F140*I140))</f>
        <v/>
      </c>
      <c r="K140" s="26"/>
      <c r="L140" s="26"/>
      <c r="M140" s="27" t="str">
        <f aca="false">IF(OR(J140="",L140="",K140=""),"",IFERROR((J140-K140-IF(O140="Adjust in Plan",N140,0))/L140,"-"))</f>
        <v/>
      </c>
      <c r="N140" s="28"/>
      <c r="O140" s="28"/>
      <c r="P140" s="27" t="n">
        <f aca="false">IFERROR(SUMIF(INSTALMENTS!$C:$C,B140,INSTALMENTS!$I:$I),0)</f>
        <v>0</v>
      </c>
      <c r="Q140" s="27" t="str">
        <f aca="false">IF(J140="","",J140-P140)</f>
        <v/>
      </c>
      <c r="R140" s="25" t="str">
        <f aca="true">IF(J140="","",IF(Q140&lt;=0,"✅ Completed",IF(IFERROR(SUMPRODUCT((INSTALMENTS!$C:$C=B140)*(INSTALMENTS!$F:$F&lt;TODAY())*(INSTALMENTS!$I:$I&lt;INSTALMENTS!$H:$H)),0)&gt;0,"🔴 Overdue","🟢 Active")))</f>
        <v/>
      </c>
      <c r="S140" s="26"/>
      <c r="T140" s="26"/>
      <c r="U140" s="26"/>
      <c r="V140" s="26"/>
      <c r="W140" s="26"/>
      <c r="X140" s="29"/>
      <c r="Y140" s="29"/>
      <c r="Z140" s="29"/>
      <c r="AA140" s="29"/>
      <c r="AB140" s="29"/>
      <c r="AC140" s="29"/>
      <c r="AD140" s="30"/>
      <c r="AE140" s="30"/>
      <c r="AF140" s="30"/>
      <c r="AG140" s="30"/>
      <c r="AH140" s="31"/>
      <c r="AI140" s="31"/>
      <c r="AJ140" s="31"/>
      <c r="AK140" s="31"/>
      <c r="AL140" s="31"/>
      <c r="AM140" s="31"/>
      <c r="AN140" s="26"/>
      <c r="AO140" s="26"/>
      <c r="AP140" s="26"/>
      <c r="AQ140" s="26"/>
      <c r="AR140" s="26"/>
      <c r="AS140" s="26"/>
      <c r="AT140" s="26"/>
      <c r="AU140" s="26"/>
      <c r="AV140" s="32"/>
    </row>
    <row r="141" customFormat="false" ht="15" hidden="false" customHeight="false" outlineLevel="0" collapsed="false">
      <c r="A141" s="24" t="n">
        <v>138</v>
      </c>
      <c r="B141" s="25" t="str">
        <f aca="true">IF(C141="","",IF(E141="","",IFERROR("BTM-"&amp;LEFT(C141,3)&amp;"-"&amp;E141&amp;"-"&amp;TEXT(TODAY(),"YY")&amp;"-"&amp;TEXT(A141,"000"),"")))</f>
        <v/>
      </c>
      <c r="C141" s="26"/>
      <c r="D141" s="26"/>
      <c r="E141" s="26"/>
      <c r="F141" s="26"/>
      <c r="G141" s="26"/>
      <c r="H141" s="26"/>
      <c r="I141" s="26"/>
      <c r="J141" s="27" t="str">
        <f aca="false">IF(F141="","",IF(I141="","",F141*I141))</f>
        <v/>
      </c>
      <c r="K141" s="26"/>
      <c r="L141" s="26"/>
      <c r="M141" s="27" t="str">
        <f aca="false">IF(OR(J141="",L141="",K141=""),"",IFERROR((J141-K141-IF(O141="Adjust in Plan",N141,0))/L141,"-"))</f>
        <v/>
      </c>
      <c r="N141" s="28"/>
      <c r="O141" s="28"/>
      <c r="P141" s="27" t="n">
        <f aca="false">IFERROR(SUMIF(INSTALMENTS!$C:$C,B141,INSTALMENTS!$I:$I),0)</f>
        <v>0</v>
      </c>
      <c r="Q141" s="27" t="str">
        <f aca="false">IF(J141="","",J141-P141)</f>
        <v/>
      </c>
      <c r="R141" s="25" t="str">
        <f aca="true">IF(J141="","",IF(Q141&lt;=0,"✅ Completed",IF(IFERROR(SUMPRODUCT((INSTALMENTS!$C:$C=B141)*(INSTALMENTS!$F:$F&lt;TODAY())*(INSTALMENTS!$I:$I&lt;INSTALMENTS!$H:$H)),0)&gt;0,"🔴 Overdue","🟢 Active")))</f>
        <v/>
      </c>
      <c r="S141" s="26"/>
      <c r="T141" s="26"/>
      <c r="U141" s="26"/>
      <c r="V141" s="26"/>
      <c r="W141" s="26"/>
      <c r="X141" s="29"/>
      <c r="Y141" s="29"/>
      <c r="Z141" s="29"/>
      <c r="AA141" s="29"/>
      <c r="AB141" s="29"/>
      <c r="AC141" s="29"/>
      <c r="AD141" s="30"/>
      <c r="AE141" s="30"/>
      <c r="AF141" s="30"/>
      <c r="AG141" s="30"/>
      <c r="AH141" s="31"/>
      <c r="AI141" s="31"/>
      <c r="AJ141" s="31"/>
      <c r="AK141" s="31"/>
      <c r="AL141" s="31"/>
      <c r="AM141" s="31"/>
      <c r="AN141" s="26"/>
      <c r="AO141" s="26"/>
      <c r="AP141" s="26"/>
      <c r="AQ141" s="26"/>
      <c r="AR141" s="26"/>
      <c r="AS141" s="26"/>
      <c r="AT141" s="26"/>
      <c r="AU141" s="26"/>
      <c r="AV141" s="32"/>
    </row>
    <row r="142" customFormat="false" ht="15" hidden="false" customHeight="false" outlineLevel="0" collapsed="false">
      <c r="A142" s="24" t="n">
        <v>139</v>
      </c>
      <c r="B142" s="25" t="str">
        <f aca="true">IF(C142="","",IF(E142="","",IFERROR("BTM-"&amp;LEFT(C142,3)&amp;"-"&amp;E142&amp;"-"&amp;TEXT(TODAY(),"YY")&amp;"-"&amp;TEXT(A142,"000"),"")))</f>
        <v/>
      </c>
      <c r="C142" s="26"/>
      <c r="D142" s="26"/>
      <c r="E142" s="26"/>
      <c r="F142" s="26"/>
      <c r="G142" s="26"/>
      <c r="H142" s="26"/>
      <c r="I142" s="26"/>
      <c r="J142" s="27" t="str">
        <f aca="false">IF(F142="","",IF(I142="","",F142*I142))</f>
        <v/>
      </c>
      <c r="K142" s="26"/>
      <c r="L142" s="26"/>
      <c r="M142" s="27" t="str">
        <f aca="false">IF(OR(J142="",L142="",K142=""),"",IFERROR((J142-K142-IF(O142="Adjust in Plan",N142,0))/L142,"-"))</f>
        <v/>
      </c>
      <c r="N142" s="28"/>
      <c r="O142" s="28"/>
      <c r="P142" s="27" t="n">
        <f aca="false">IFERROR(SUMIF(INSTALMENTS!$C:$C,B142,INSTALMENTS!$I:$I),0)</f>
        <v>0</v>
      </c>
      <c r="Q142" s="27" t="str">
        <f aca="false">IF(J142="","",J142-P142)</f>
        <v/>
      </c>
      <c r="R142" s="25" t="str">
        <f aca="true">IF(J142="","",IF(Q142&lt;=0,"✅ Completed",IF(IFERROR(SUMPRODUCT((INSTALMENTS!$C:$C=B142)*(INSTALMENTS!$F:$F&lt;TODAY())*(INSTALMENTS!$I:$I&lt;INSTALMENTS!$H:$H)),0)&gt;0,"🔴 Overdue","🟢 Active")))</f>
        <v/>
      </c>
      <c r="S142" s="26"/>
      <c r="T142" s="26"/>
      <c r="U142" s="26"/>
      <c r="V142" s="26"/>
      <c r="W142" s="26"/>
      <c r="X142" s="29"/>
      <c r="Y142" s="29"/>
      <c r="Z142" s="29"/>
      <c r="AA142" s="29"/>
      <c r="AB142" s="29"/>
      <c r="AC142" s="29"/>
      <c r="AD142" s="30"/>
      <c r="AE142" s="30"/>
      <c r="AF142" s="30"/>
      <c r="AG142" s="30"/>
      <c r="AH142" s="31"/>
      <c r="AI142" s="31"/>
      <c r="AJ142" s="31"/>
      <c r="AK142" s="31"/>
      <c r="AL142" s="31"/>
      <c r="AM142" s="31"/>
      <c r="AN142" s="26"/>
      <c r="AO142" s="26"/>
      <c r="AP142" s="26"/>
      <c r="AQ142" s="26"/>
      <c r="AR142" s="26"/>
      <c r="AS142" s="26"/>
      <c r="AT142" s="26"/>
      <c r="AU142" s="26"/>
      <c r="AV142" s="32"/>
    </row>
    <row r="143" customFormat="false" ht="15" hidden="false" customHeight="false" outlineLevel="0" collapsed="false">
      <c r="A143" s="24" t="n">
        <v>140</v>
      </c>
      <c r="B143" s="25" t="str">
        <f aca="true">IF(C143="","",IF(E143="","",IFERROR("BTM-"&amp;LEFT(C143,3)&amp;"-"&amp;E143&amp;"-"&amp;TEXT(TODAY(),"YY")&amp;"-"&amp;TEXT(A143,"000"),"")))</f>
        <v/>
      </c>
      <c r="C143" s="26"/>
      <c r="D143" s="26"/>
      <c r="E143" s="26"/>
      <c r="F143" s="26"/>
      <c r="G143" s="26"/>
      <c r="H143" s="26"/>
      <c r="I143" s="26"/>
      <c r="J143" s="27" t="str">
        <f aca="false">IF(F143="","",IF(I143="","",F143*I143))</f>
        <v/>
      </c>
      <c r="K143" s="26"/>
      <c r="L143" s="26"/>
      <c r="M143" s="27" t="str">
        <f aca="false">IF(OR(J143="",L143="",K143=""),"",IFERROR((J143-K143-IF(O143="Adjust in Plan",N143,0))/L143,"-"))</f>
        <v/>
      </c>
      <c r="N143" s="28"/>
      <c r="O143" s="28"/>
      <c r="P143" s="27" t="n">
        <f aca="false">IFERROR(SUMIF(INSTALMENTS!$C:$C,B143,INSTALMENTS!$I:$I),0)</f>
        <v>0</v>
      </c>
      <c r="Q143" s="27" t="str">
        <f aca="false">IF(J143="","",J143-P143)</f>
        <v/>
      </c>
      <c r="R143" s="25" t="str">
        <f aca="true">IF(J143="","",IF(Q143&lt;=0,"✅ Completed",IF(IFERROR(SUMPRODUCT((INSTALMENTS!$C:$C=B143)*(INSTALMENTS!$F:$F&lt;TODAY())*(INSTALMENTS!$I:$I&lt;INSTALMENTS!$H:$H)),0)&gt;0,"🔴 Overdue","🟢 Active")))</f>
        <v/>
      </c>
      <c r="S143" s="26"/>
      <c r="T143" s="26"/>
      <c r="U143" s="26"/>
      <c r="V143" s="26"/>
      <c r="W143" s="26"/>
      <c r="X143" s="29"/>
      <c r="Y143" s="29"/>
      <c r="Z143" s="29"/>
      <c r="AA143" s="29"/>
      <c r="AB143" s="29"/>
      <c r="AC143" s="29"/>
      <c r="AD143" s="30"/>
      <c r="AE143" s="30"/>
      <c r="AF143" s="30"/>
      <c r="AG143" s="30"/>
      <c r="AH143" s="31"/>
      <c r="AI143" s="31"/>
      <c r="AJ143" s="31"/>
      <c r="AK143" s="31"/>
      <c r="AL143" s="31"/>
      <c r="AM143" s="31"/>
      <c r="AN143" s="26"/>
      <c r="AO143" s="26"/>
      <c r="AP143" s="26"/>
      <c r="AQ143" s="26"/>
      <c r="AR143" s="26"/>
      <c r="AS143" s="26"/>
      <c r="AT143" s="26"/>
      <c r="AU143" s="26"/>
      <c r="AV143" s="32"/>
    </row>
    <row r="144" customFormat="false" ht="15" hidden="false" customHeight="false" outlineLevel="0" collapsed="false">
      <c r="A144" s="24" t="n">
        <v>141</v>
      </c>
      <c r="B144" s="25" t="str">
        <f aca="true">IF(C144="","",IF(E144="","",IFERROR("BTM-"&amp;LEFT(C144,3)&amp;"-"&amp;E144&amp;"-"&amp;TEXT(TODAY(),"YY")&amp;"-"&amp;TEXT(A144,"000"),"")))</f>
        <v/>
      </c>
      <c r="C144" s="26"/>
      <c r="D144" s="26"/>
      <c r="E144" s="26"/>
      <c r="F144" s="26"/>
      <c r="G144" s="26"/>
      <c r="H144" s="26"/>
      <c r="I144" s="26"/>
      <c r="J144" s="27" t="str">
        <f aca="false">IF(F144="","",IF(I144="","",F144*I144))</f>
        <v/>
      </c>
      <c r="K144" s="26"/>
      <c r="L144" s="26"/>
      <c r="M144" s="27" t="str">
        <f aca="false">IF(OR(J144="",L144="",K144=""),"",IFERROR((J144-K144-IF(O144="Adjust in Plan",N144,0))/L144,"-"))</f>
        <v/>
      </c>
      <c r="N144" s="28"/>
      <c r="O144" s="28"/>
      <c r="P144" s="27" t="n">
        <f aca="false">IFERROR(SUMIF(INSTALMENTS!$C:$C,B144,INSTALMENTS!$I:$I),0)</f>
        <v>0</v>
      </c>
      <c r="Q144" s="27" t="str">
        <f aca="false">IF(J144="","",J144-P144)</f>
        <v/>
      </c>
      <c r="R144" s="25" t="str">
        <f aca="true">IF(J144="","",IF(Q144&lt;=0,"✅ Completed",IF(IFERROR(SUMPRODUCT((INSTALMENTS!$C:$C=B144)*(INSTALMENTS!$F:$F&lt;TODAY())*(INSTALMENTS!$I:$I&lt;INSTALMENTS!$H:$H)),0)&gt;0,"🔴 Overdue","🟢 Active")))</f>
        <v/>
      </c>
      <c r="S144" s="26"/>
      <c r="T144" s="26"/>
      <c r="U144" s="26"/>
      <c r="V144" s="26"/>
      <c r="W144" s="26"/>
      <c r="X144" s="29"/>
      <c r="Y144" s="29"/>
      <c r="Z144" s="29"/>
      <c r="AA144" s="29"/>
      <c r="AB144" s="29"/>
      <c r="AC144" s="29"/>
      <c r="AD144" s="30"/>
      <c r="AE144" s="30"/>
      <c r="AF144" s="30"/>
      <c r="AG144" s="30"/>
      <c r="AH144" s="31"/>
      <c r="AI144" s="31"/>
      <c r="AJ144" s="31"/>
      <c r="AK144" s="31"/>
      <c r="AL144" s="31"/>
      <c r="AM144" s="31"/>
      <c r="AN144" s="26"/>
      <c r="AO144" s="26"/>
      <c r="AP144" s="26"/>
      <c r="AQ144" s="26"/>
      <c r="AR144" s="26"/>
      <c r="AS144" s="26"/>
      <c r="AT144" s="26"/>
      <c r="AU144" s="26"/>
      <c r="AV144" s="32"/>
    </row>
    <row r="145" customFormat="false" ht="15" hidden="false" customHeight="false" outlineLevel="0" collapsed="false">
      <c r="A145" s="24" t="n">
        <v>142</v>
      </c>
      <c r="B145" s="25" t="str">
        <f aca="true">IF(C145="","",IF(E145="","",IFERROR("BTM-"&amp;LEFT(C145,3)&amp;"-"&amp;E145&amp;"-"&amp;TEXT(TODAY(),"YY")&amp;"-"&amp;TEXT(A145,"000"),"")))</f>
        <v/>
      </c>
      <c r="C145" s="26"/>
      <c r="D145" s="26"/>
      <c r="E145" s="26"/>
      <c r="F145" s="26"/>
      <c r="G145" s="26"/>
      <c r="H145" s="26"/>
      <c r="I145" s="26"/>
      <c r="J145" s="27" t="str">
        <f aca="false">IF(F145="","",IF(I145="","",F145*I145))</f>
        <v/>
      </c>
      <c r="K145" s="26"/>
      <c r="L145" s="26"/>
      <c r="M145" s="27" t="str">
        <f aca="false">IF(OR(J145="",L145="",K145=""),"",IFERROR((J145-K145-IF(O145="Adjust in Plan",N145,0))/L145,"-"))</f>
        <v/>
      </c>
      <c r="N145" s="28"/>
      <c r="O145" s="28"/>
      <c r="P145" s="27" t="n">
        <f aca="false">IFERROR(SUMIF(INSTALMENTS!$C:$C,B145,INSTALMENTS!$I:$I),0)</f>
        <v>0</v>
      </c>
      <c r="Q145" s="27" t="str">
        <f aca="false">IF(J145="","",J145-P145)</f>
        <v/>
      </c>
      <c r="R145" s="25" t="str">
        <f aca="true">IF(J145="","",IF(Q145&lt;=0,"✅ Completed",IF(IFERROR(SUMPRODUCT((INSTALMENTS!$C:$C=B145)*(INSTALMENTS!$F:$F&lt;TODAY())*(INSTALMENTS!$I:$I&lt;INSTALMENTS!$H:$H)),0)&gt;0,"🔴 Overdue","🟢 Active")))</f>
        <v/>
      </c>
      <c r="S145" s="26"/>
      <c r="T145" s="26"/>
      <c r="U145" s="26"/>
      <c r="V145" s="26"/>
      <c r="W145" s="26"/>
      <c r="X145" s="29"/>
      <c r="Y145" s="29"/>
      <c r="Z145" s="29"/>
      <c r="AA145" s="29"/>
      <c r="AB145" s="29"/>
      <c r="AC145" s="29"/>
      <c r="AD145" s="30"/>
      <c r="AE145" s="30"/>
      <c r="AF145" s="30"/>
      <c r="AG145" s="30"/>
      <c r="AH145" s="31"/>
      <c r="AI145" s="31"/>
      <c r="AJ145" s="31"/>
      <c r="AK145" s="31"/>
      <c r="AL145" s="31"/>
      <c r="AM145" s="31"/>
      <c r="AN145" s="26"/>
      <c r="AO145" s="26"/>
      <c r="AP145" s="26"/>
      <c r="AQ145" s="26"/>
      <c r="AR145" s="26"/>
      <c r="AS145" s="26"/>
      <c r="AT145" s="26"/>
      <c r="AU145" s="26"/>
      <c r="AV145" s="32"/>
    </row>
    <row r="146" customFormat="false" ht="15" hidden="false" customHeight="false" outlineLevel="0" collapsed="false">
      <c r="A146" s="24" t="n">
        <v>143</v>
      </c>
      <c r="B146" s="25" t="str">
        <f aca="true">IF(C146="","",IF(E146="","",IFERROR("BTM-"&amp;LEFT(C146,3)&amp;"-"&amp;E146&amp;"-"&amp;TEXT(TODAY(),"YY")&amp;"-"&amp;TEXT(A146,"000"),"")))</f>
        <v/>
      </c>
      <c r="C146" s="26"/>
      <c r="D146" s="26"/>
      <c r="E146" s="26"/>
      <c r="F146" s="26"/>
      <c r="G146" s="26"/>
      <c r="H146" s="26"/>
      <c r="I146" s="26"/>
      <c r="J146" s="27" t="str">
        <f aca="false">IF(F146="","",IF(I146="","",F146*I146))</f>
        <v/>
      </c>
      <c r="K146" s="26"/>
      <c r="L146" s="26"/>
      <c r="M146" s="27" t="str">
        <f aca="false">IF(OR(J146="",L146="",K146=""),"",IFERROR((J146-K146-IF(O146="Adjust in Plan",N146,0))/L146,"-"))</f>
        <v/>
      </c>
      <c r="N146" s="28"/>
      <c r="O146" s="28"/>
      <c r="P146" s="27" t="n">
        <f aca="false">IFERROR(SUMIF(INSTALMENTS!$C:$C,B146,INSTALMENTS!$I:$I),0)</f>
        <v>0</v>
      </c>
      <c r="Q146" s="27" t="str">
        <f aca="false">IF(J146="","",J146-P146)</f>
        <v/>
      </c>
      <c r="R146" s="25" t="str">
        <f aca="true">IF(J146="","",IF(Q146&lt;=0,"✅ Completed",IF(IFERROR(SUMPRODUCT((INSTALMENTS!$C:$C=B146)*(INSTALMENTS!$F:$F&lt;TODAY())*(INSTALMENTS!$I:$I&lt;INSTALMENTS!$H:$H)),0)&gt;0,"🔴 Overdue","🟢 Active")))</f>
        <v/>
      </c>
      <c r="S146" s="26"/>
      <c r="T146" s="26"/>
      <c r="U146" s="26"/>
      <c r="V146" s="26"/>
      <c r="W146" s="26"/>
      <c r="X146" s="29"/>
      <c r="Y146" s="29"/>
      <c r="Z146" s="29"/>
      <c r="AA146" s="29"/>
      <c r="AB146" s="29"/>
      <c r="AC146" s="29"/>
      <c r="AD146" s="30"/>
      <c r="AE146" s="30"/>
      <c r="AF146" s="30"/>
      <c r="AG146" s="30"/>
      <c r="AH146" s="31"/>
      <c r="AI146" s="31"/>
      <c r="AJ146" s="31"/>
      <c r="AK146" s="31"/>
      <c r="AL146" s="31"/>
      <c r="AM146" s="31"/>
      <c r="AN146" s="26"/>
      <c r="AO146" s="26"/>
      <c r="AP146" s="26"/>
      <c r="AQ146" s="26"/>
      <c r="AR146" s="26"/>
      <c r="AS146" s="26"/>
      <c r="AT146" s="26"/>
      <c r="AU146" s="26"/>
      <c r="AV146" s="32"/>
    </row>
    <row r="147" customFormat="false" ht="15" hidden="false" customHeight="false" outlineLevel="0" collapsed="false">
      <c r="A147" s="24" t="n">
        <v>144</v>
      </c>
      <c r="B147" s="25" t="str">
        <f aca="true">IF(C147="","",IF(E147="","",IFERROR("BTM-"&amp;LEFT(C147,3)&amp;"-"&amp;E147&amp;"-"&amp;TEXT(TODAY(),"YY")&amp;"-"&amp;TEXT(A147,"000"),"")))</f>
        <v/>
      </c>
      <c r="C147" s="26"/>
      <c r="D147" s="26"/>
      <c r="E147" s="26"/>
      <c r="F147" s="26"/>
      <c r="G147" s="26"/>
      <c r="H147" s="26"/>
      <c r="I147" s="26"/>
      <c r="J147" s="27" t="str">
        <f aca="false">IF(F147="","",IF(I147="","",F147*I147))</f>
        <v/>
      </c>
      <c r="K147" s="26"/>
      <c r="L147" s="26"/>
      <c r="M147" s="27" t="str">
        <f aca="false">IF(OR(J147="",L147="",K147=""),"",IFERROR((J147-K147-IF(O147="Adjust in Plan",N147,0))/L147,"-"))</f>
        <v/>
      </c>
      <c r="N147" s="28"/>
      <c r="O147" s="28"/>
      <c r="P147" s="27" t="n">
        <f aca="false">IFERROR(SUMIF(INSTALMENTS!$C:$C,B147,INSTALMENTS!$I:$I),0)</f>
        <v>0</v>
      </c>
      <c r="Q147" s="27" t="str">
        <f aca="false">IF(J147="","",J147-P147)</f>
        <v/>
      </c>
      <c r="R147" s="25" t="str">
        <f aca="true">IF(J147="","",IF(Q147&lt;=0,"✅ Completed",IF(IFERROR(SUMPRODUCT((INSTALMENTS!$C:$C=B147)*(INSTALMENTS!$F:$F&lt;TODAY())*(INSTALMENTS!$I:$I&lt;INSTALMENTS!$H:$H)),0)&gt;0,"🔴 Overdue","🟢 Active")))</f>
        <v/>
      </c>
      <c r="S147" s="26"/>
      <c r="T147" s="26"/>
      <c r="U147" s="26"/>
      <c r="V147" s="26"/>
      <c r="W147" s="26"/>
      <c r="X147" s="29"/>
      <c r="Y147" s="29"/>
      <c r="Z147" s="29"/>
      <c r="AA147" s="29"/>
      <c r="AB147" s="29"/>
      <c r="AC147" s="29"/>
      <c r="AD147" s="30"/>
      <c r="AE147" s="30"/>
      <c r="AF147" s="30"/>
      <c r="AG147" s="30"/>
      <c r="AH147" s="31"/>
      <c r="AI147" s="31"/>
      <c r="AJ147" s="31"/>
      <c r="AK147" s="31"/>
      <c r="AL147" s="31"/>
      <c r="AM147" s="31"/>
      <c r="AN147" s="26"/>
      <c r="AO147" s="26"/>
      <c r="AP147" s="26"/>
      <c r="AQ147" s="26"/>
      <c r="AR147" s="26"/>
      <c r="AS147" s="26"/>
      <c r="AT147" s="26"/>
      <c r="AU147" s="26"/>
      <c r="AV147" s="32"/>
    </row>
    <row r="148" customFormat="false" ht="15" hidden="false" customHeight="false" outlineLevel="0" collapsed="false">
      <c r="A148" s="24" t="n">
        <v>145</v>
      </c>
      <c r="B148" s="25" t="str">
        <f aca="true">IF(C148="","",IF(E148="","",IFERROR("BTM-"&amp;LEFT(C148,3)&amp;"-"&amp;E148&amp;"-"&amp;TEXT(TODAY(),"YY")&amp;"-"&amp;TEXT(A148,"000"),"")))</f>
        <v/>
      </c>
      <c r="C148" s="26"/>
      <c r="D148" s="26"/>
      <c r="E148" s="26"/>
      <c r="F148" s="26"/>
      <c r="G148" s="26"/>
      <c r="H148" s="26"/>
      <c r="I148" s="26"/>
      <c r="J148" s="27" t="str">
        <f aca="false">IF(F148="","",IF(I148="","",F148*I148))</f>
        <v/>
      </c>
      <c r="K148" s="26"/>
      <c r="L148" s="26"/>
      <c r="M148" s="27" t="str">
        <f aca="false">IF(OR(J148="",L148="",K148=""),"",IFERROR((J148-K148-IF(O148="Adjust in Plan",N148,0))/L148,"-"))</f>
        <v/>
      </c>
      <c r="N148" s="28"/>
      <c r="O148" s="28"/>
      <c r="P148" s="27" t="n">
        <f aca="false">IFERROR(SUMIF(INSTALMENTS!$C:$C,B148,INSTALMENTS!$I:$I),0)</f>
        <v>0</v>
      </c>
      <c r="Q148" s="27" t="str">
        <f aca="false">IF(J148="","",J148-P148)</f>
        <v/>
      </c>
      <c r="R148" s="25" t="str">
        <f aca="true">IF(J148="","",IF(Q148&lt;=0,"✅ Completed",IF(IFERROR(SUMPRODUCT((INSTALMENTS!$C:$C=B148)*(INSTALMENTS!$F:$F&lt;TODAY())*(INSTALMENTS!$I:$I&lt;INSTALMENTS!$H:$H)),0)&gt;0,"🔴 Overdue","🟢 Active")))</f>
        <v/>
      </c>
      <c r="S148" s="26"/>
      <c r="T148" s="26"/>
      <c r="U148" s="26"/>
      <c r="V148" s="26"/>
      <c r="W148" s="26"/>
      <c r="X148" s="29"/>
      <c r="Y148" s="29"/>
      <c r="Z148" s="29"/>
      <c r="AA148" s="29"/>
      <c r="AB148" s="29"/>
      <c r="AC148" s="29"/>
      <c r="AD148" s="30"/>
      <c r="AE148" s="30"/>
      <c r="AF148" s="30"/>
      <c r="AG148" s="30"/>
      <c r="AH148" s="31"/>
      <c r="AI148" s="31"/>
      <c r="AJ148" s="31"/>
      <c r="AK148" s="31"/>
      <c r="AL148" s="31"/>
      <c r="AM148" s="31"/>
      <c r="AN148" s="26"/>
      <c r="AO148" s="26"/>
      <c r="AP148" s="26"/>
      <c r="AQ148" s="26"/>
      <c r="AR148" s="26"/>
      <c r="AS148" s="26"/>
      <c r="AT148" s="26"/>
      <c r="AU148" s="26"/>
      <c r="AV148" s="32"/>
    </row>
    <row r="149" customFormat="false" ht="15" hidden="false" customHeight="false" outlineLevel="0" collapsed="false">
      <c r="A149" s="24" t="n">
        <v>146</v>
      </c>
      <c r="B149" s="25" t="str">
        <f aca="true">IF(C149="","",IF(E149="","",IFERROR("BTM-"&amp;LEFT(C149,3)&amp;"-"&amp;E149&amp;"-"&amp;TEXT(TODAY(),"YY")&amp;"-"&amp;TEXT(A149,"000"),"")))</f>
        <v/>
      </c>
      <c r="C149" s="26"/>
      <c r="D149" s="26"/>
      <c r="E149" s="26"/>
      <c r="F149" s="26"/>
      <c r="G149" s="26"/>
      <c r="H149" s="26"/>
      <c r="I149" s="26"/>
      <c r="J149" s="27" t="str">
        <f aca="false">IF(F149="","",IF(I149="","",F149*I149))</f>
        <v/>
      </c>
      <c r="K149" s="26"/>
      <c r="L149" s="26"/>
      <c r="M149" s="27" t="str">
        <f aca="false">IF(OR(J149="",L149="",K149=""),"",IFERROR((J149-K149-IF(O149="Adjust in Plan",N149,0))/L149,"-"))</f>
        <v/>
      </c>
      <c r="N149" s="28"/>
      <c r="O149" s="28"/>
      <c r="P149" s="27" t="n">
        <f aca="false">IFERROR(SUMIF(INSTALMENTS!$C:$C,B149,INSTALMENTS!$I:$I),0)</f>
        <v>0</v>
      </c>
      <c r="Q149" s="27" t="str">
        <f aca="false">IF(J149="","",J149-P149)</f>
        <v/>
      </c>
      <c r="R149" s="25" t="str">
        <f aca="true">IF(J149="","",IF(Q149&lt;=0,"✅ Completed",IF(IFERROR(SUMPRODUCT((INSTALMENTS!$C:$C=B149)*(INSTALMENTS!$F:$F&lt;TODAY())*(INSTALMENTS!$I:$I&lt;INSTALMENTS!$H:$H)),0)&gt;0,"🔴 Overdue","🟢 Active")))</f>
        <v/>
      </c>
      <c r="S149" s="26"/>
      <c r="T149" s="26"/>
      <c r="U149" s="26"/>
      <c r="V149" s="26"/>
      <c r="W149" s="26"/>
      <c r="X149" s="29"/>
      <c r="Y149" s="29"/>
      <c r="Z149" s="29"/>
      <c r="AA149" s="29"/>
      <c r="AB149" s="29"/>
      <c r="AC149" s="29"/>
      <c r="AD149" s="30"/>
      <c r="AE149" s="30"/>
      <c r="AF149" s="30"/>
      <c r="AG149" s="30"/>
      <c r="AH149" s="31"/>
      <c r="AI149" s="31"/>
      <c r="AJ149" s="31"/>
      <c r="AK149" s="31"/>
      <c r="AL149" s="31"/>
      <c r="AM149" s="31"/>
      <c r="AN149" s="26"/>
      <c r="AO149" s="26"/>
      <c r="AP149" s="26"/>
      <c r="AQ149" s="26"/>
      <c r="AR149" s="26"/>
      <c r="AS149" s="26"/>
      <c r="AT149" s="26"/>
      <c r="AU149" s="26"/>
      <c r="AV149" s="32"/>
    </row>
    <row r="150" customFormat="false" ht="15" hidden="false" customHeight="false" outlineLevel="0" collapsed="false">
      <c r="A150" s="24" t="n">
        <v>147</v>
      </c>
      <c r="B150" s="25" t="str">
        <f aca="true">IF(C150="","",IF(E150="","",IFERROR("BTM-"&amp;LEFT(C150,3)&amp;"-"&amp;E150&amp;"-"&amp;TEXT(TODAY(),"YY")&amp;"-"&amp;TEXT(A150,"000"),"")))</f>
        <v/>
      </c>
      <c r="C150" s="26"/>
      <c r="D150" s="26"/>
      <c r="E150" s="26"/>
      <c r="F150" s="26"/>
      <c r="G150" s="26"/>
      <c r="H150" s="26"/>
      <c r="I150" s="26"/>
      <c r="J150" s="27" t="str">
        <f aca="false">IF(F150="","",IF(I150="","",F150*I150))</f>
        <v/>
      </c>
      <c r="K150" s="26"/>
      <c r="L150" s="26"/>
      <c r="M150" s="27" t="str">
        <f aca="false">IF(OR(J150="",L150="",K150=""),"",IFERROR((J150-K150-IF(O150="Adjust in Plan",N150,0))/L150,"-"))</f>
        <v/>
      </c>
      <c r="N150" s="28"/>
      <c r="O150" s="28"/>
      <c r="P150" s="27" t="n">
        <f aca="false">IFERROR(SUMIF(INSTALMENTS!$C:$C,B150,INSTALMENTS!$I:$I),0)</f>
        <v>0</v>
      </c>
      <c r="Q150" s="27" t="str">
        <f aca="false">IF(J150="","",J150-P150)</f>
        <v/>
      </c>
      <c r="R150" s="25" t="str">
        <f aca="true">IF(J150="","",IF(Q150&lt;=0,"✅ Completed",IF(IFERROR(SUMPRODUCT((INSTALMENTS!$C:$C=B150)*(INSTALMENTS!$F:$F&lt;TODAY())*(INSTALMENTS!$I:$I&lt;INSTALMENTS!$H:$H)),0)&gt;0,"🔴 Overdue","🟢 Active")))</f>
        <v/>
      </c>
      <c r="S150" s="26"/>
      <c r="T150" s="26"/>
      <c r="U150" s="26"/>
      <c r="V150" s="26"/>
      <c r="W150" s="26"/>
      <c r="X150" s="29"/>
      <c r="Y150" s="29"/>
      <c r="Z150" s="29"/>
      <c r="AA150" s="29"/>
      <c r="AB150" s="29"/>
      <c r="AC150" s="29"/>
      <c r="AD150" s="30"/>
      <c r="AE150" s="30"/>
      <c r="AF150" s="30"/>
      <c r="AG150" s="30"/>
      <c r="AH150" s="31"/>
      <c r="AI150" s="31"/>
      <c r="AJ150" s="31"/>
      <c r="AK150" s="31"/>
      <c r="AL150" s="31"/>
      <c r="AM150" s="31"/>
      <c r="AN150" s="26"/>
      <c r="AO150" s="26"/>
      <c r="AP150" s="26"/>
      <c r="AQ150" s="26"/>
      <c r="AR150" s="26"/>
      <c r="AS150" s="26"/>
      <c r="AT150" s="26"/>
      <c r="AU150" s="26"/>
      <c r="AV150" s="32"/>
    </row>
    <row r="151" customFormat="false" ht="15" hidden="false" customHeight="false" outlineLevel="0" collapsed="false">
      <c r="A151" s="24" t="n">
        <v>148</v>
      </c>
      <c r="B151" s="25" t="str">
        <f aca="true">IF(C151="","",IF(E151="","",IFERROR("BTM-"&amp;LEFT(C151,3)&amp;"-"&amp;E151&amp;"-"&amp;TEXT(TODAY(),"YY")&amp;"-"&amp;TEXT(A151,"000"),"")))</f>
        <v/>
      </c>
      <c r="C151" s="26"/>
      <c r="D151" s="26"/>
      <c r="E151" s="26"/>
      <c r="F151" s="26"/>
      <c r="G151" s="26"/>
      <c r="H151" s="26"/>
      <c r="I151" s="26"/>
      <c r="J151" s="27" t="str">
        <f aca="false">IF(F151="","",IF(I151="","",F151*I151))</f>
        <v/>
      </c>
      <c r="K151" s="26"/>
      <c r="L151" s="26"/>
      <c r="M151" s="27" t="str">
        <f aca="false">IF(OR(J151="",L151="",K151=""),"",IFERROR((J151-K151-IF(O151="Adjust in Plan",N151,0))/L151,"-"))</f>
        <v/>
      </c>
      <c r="N151" s="28"/>
      <c r="O151" s="28"/>
      <c r="P151" s="27" t="n">
        <f aca="false">IFERROR(SUMIF(INSTALMENTS!$C:$C,B151,INSTALMENTS!$I:$I),0)</f>
        <v>0</v>
      </c>
      <c r="Q151" s="27" t="str">
        <f aca="false">IF(J151="","",J151-P151)</f>
        <v/>
      </c>
      <c r="R151" s="25" t="str">
        <f aca="true">IF(J151="","",IF(Q151&lt;=0,"✅ Completed",IF(IFERROR(SUMPRODUCT((INSTALMENTS!$C:$C=B151)*(INSTALMENTS!$F:$F&lt;TODAY())*(INSTALMENTS!$I:$I&lt;INSTALMENTS!$H:$H)),0)&gt;0,"🔴 Overdue","🟢 Active")))</f>
        <v/>
      </c>
      <c r="S151" s="26"/>
      <c r="T151" s="26"/>
      <c r="U151" s="26"/>
      <c r="V151" s="26"/>
      <c r="W151" s="26"/>
      <c r="X151" s="29"/>
      <c r="Y151" s="29"/>
      <c r="Z151" s="29"/>
      <c r="AA151" s="29"/>
      <c r="AB151" s="29"/>
      <c r="AC151" s="29"/>
      <c r="AD151" s="30"/>
      <c r="AE151" s="30"/>
      <c r="AF151" s="30"/>
      <c r="AG151" s="30"/>
      <c r="AH151" s="31"/>
      <c r="AI151" s="31"/>
      <c r="AJ151" s="31"/>
      <c r="AK151" s="31"/>
      <c r="AL151" s="31"/>
      <c r="AM151" s="31"/>
      <c r="AN151" s="26"/>
      <c r="AO151" s="26"/>
      <c r="AP151" s="26"/>
      <c r="AQ151" s="26"/>
      <c r="AR151" s="26"/>
      <c r="AS151" s="26"/>
      <c r="AT151" s="26"/>
      <c r="AU151" s="26"/>
      <c r="AV151" s="32"/>
    </row>
    <row r="152" customFormat="false" ht="15" hidden="false" customHeight="false" outlineLevel="0" collapsed="false">
      <c r="A152" s="24" t="n">
        <v>149</v>
      </c>
      <c r="B152" s="25" t="str">
        <f aca="true">IF(C152="","",IF(E152="","",IFERROR("BTM-"&amp;LEFT(C152,3)&amp;"-"&amp;E152&amp;"-"&amp;TEXT(TODAY(),"YY")&amp;"-"&amp;TEXT(A152,"000"),"")))</f>
        <v/>
      </c>
      <c r="C152" s="26"/>
      <c r="D152" s="26"/>
      <c r="E152" s="26"/>
      <c r="F152" s="26"/>
      <c r="G152" s="26"/>
      <c r="H152" s="26"/>
      <c r="I152" s="26"/>
      <c r="J152" s="27" t="str">
        <f aca="false">IF(F152="","",IF(I152="","",F152*I152))</f>
        <v/>
      </c>
      <c r="K152" s="26"/>
      <c r="L152" s="26"/>
      <c r="M152" s="27" t="str">
        <f aca="false">IF(OR(J152="",L152="",K152=""),"",IFERROR((J152-K152-IF(O152="Adjust in Plan",N152,0))/L152,"-"))</f>
        <v/>
      </c>
      <c r="N152" s="28"/>
      <c r="O152" s="28"/>
      <c r="P152" s="27" t="n">
        <f aca="false">IFERROR(SUMIF(INSTALMENTS!$C:$C,B152,INSTALMENTS!$I:$I),0)</f>
        <v>0</v>
      </c>
      <c r="Q152" s="27" t="str">
        <f aca="false">IF(J152="","",J152-P152)</f>
        <v/>
      </c>
      <c r="R152" s="25" t="str">
        <f aca="true">IF(J152="","",IF(Q152&lt;=0,"✅ Completed",IF(IFERROR(SUMPRODUCT((INSTALMENTS!$C:$C=B152)*(INSTALMENTS!$F:$F&lt;TODAY())*(INSTALMENTS!$I:$I&lt;INSTALMENTS!$H:$H)),0)&gt;0,"🔴 Overdue","🟢 Active")))</f>
        <v/>
      </c>
      <c r="S152" s="26"/>
      <c r="T152" s="26"/>
      <c r="U152" s="26"/>
      <c r="V152" s="26"/>
      <c r="W152" s="26"/>
      <c r="X152" s="29"/>
      <c r="Y152" s="29"/>
      <c r="Z152" s="29"/>
      <c r="AA152" s="29"/>
      <c r="AB152" s="29"/>
      <c r="AC152" s="29"/>
      <c r="AD152" s="30"/>
      <c r="AE152" s="30"/>
      <c r="AF152" s="30"/>
      <c r="AG152" s="30"/>
      <c r="AH152" s="31"/>
      <c r="AI152" s="31"/>
      <c r="AJ152" s="31"/>
      <c r="AK152" s="31"/>
      <c r="AL152" s="31"/>
      <c r="AM152" s="31"/>
      <c r="AN152" s="26"/>
      <c r="AO152" s="26"/>
      <c r="AP152" s="26"/>
      <c r="AQ152" s="26"/>
      <c r="AR152" s="26"/>
      <c r="AS152" s="26"/>
      <c r="AT152" s="26"/>
      <c r="AU152" s="26"/>
      <c r="AV152" s="32"/>
    </row>
    <row r="153" customFormat="false" ht="15" hidden="false" customHeight="false" outlineLevel="0" collapsed="false">
      <c r="A153" s="24" t="n">
        <v>150</v>
      </c>
      <c r="B153" s="25" t="str">
        <f aca="true">IF(C153="","",IF(E153="","",IFERROR("BTM-"&amp;LEFT(C153,3)&amp;"-"&amp;E153&amp;"-"&amp;TEXT(TODAY(),"YY")&amp;"-"&amp;TEXT(A153,"000"),"")))</f>
        <v/>
      </c>
      <c r="C153" s="26"/>
      <c r="D153" s="26"/>
      <c r="E153" s="26"/>
      <c r="F153" s="26"/>
      <c r="G153" s="26"/>
      <c r="H153" s="26"/>
      <c r="I153" s="26"/>
      <c r="J153" s="27" t="str">
        <f aca="false">IF(F153="","",IF(I153="","",F153*I153))</f>
        <v/>
      </c>
      <c r="K153" s="26"/>
      <c r="L153" s="26"/>
      <c r="M153" s="27" t="str">
        <f aca="false">IF(OR(J153="",L153="",K153=""),"",IFERROR((J153-K153-IF(O153="Adjust in Plan",N153,0))/L153,"-"))</f>
        <v/>
      </c>
      <c r="N153" s="28"/>
      <c r="O153" s="28"/>
      <c r="P153" s="27" t="n">
        <f aca="false">IFERROR(SUMIF(INSTALMENTS!$C:$C,B153,INSTALMENTS!$I:$I),0)</f>
        <v>0</v>
      </c>
      <c r="Q153" s="27" t="str">
        <f aca="false">IF(J153="","",J153-P153)</f>
        <v/>
      </c>
      <c r="R153" s="25" t="str">
        <f aca="true">IF(J153="","",IF(Q153&lt;=0,"✅ Completed",IF(IFERROR(SUMPRODUCT((INSTALMENTS!$C:$C=B153)*(INSTALMENTS!$F:$F&lt;TODAY())*(INSTALMENTS!$I:$I&lt;INSTALMENTS!$H:$H)),0)&gt;0,"🔴 Overdue","🟢 Active")))</f>
        <v/>
      </c>
      <c r="S153" s="26"/>
      <c r="T153" s="26"/>
      <c r="U153" s="26"/>
      <c r="V153" s="26"/>
      <c r="W153" s="26"/>
      <c r="X153" s="29"/>
      <c r="Y153" s="29"/>
      <c r="Z153" s="29"/>
      <c r="AA153" s="29"/>
      <c r="AB153" s="29"/>
      <c r="AC153" s="29"/>
      <c r="AD153" s="30"/>
      <c r="AE153" s="30"/>
      <c r="AF153" s="30"/>
      <c r="AG153" s="30"/>
      <c r="AH153" s="31"/>
      <c r="AI153" s="31"/>
      <c r="AJ153" s="31"/>
      <c r="AK153" s="31"/>
      <c r="AL153" s="31"/>
      <c r="AM153" s="31"/>
      <c r="AN153" s="26"/>
      <c r="AO153" s="26"/>
      <c r="AP153" s="26"/>
      <c r="AQ153" s="26"/>
      <c r="AR153" s="26"/>
      <c r="AS153" s="26"/>
      <c r="AT153" s="26"/>
      <c r="AU153" s="26"/>
      <c r="AV153" s="32"/>
    </row>
    <row r="154" customFormat="false" ht="15" hidden="false" customHeight="false" outlineLevel="0" collapsed="false">
      <c r="A154" s="24" t="n">
        <v>151</v>
      </c>
      <c r="B154" s="25" t="str">
        <f aca="true">IF(C154="","",IF(E154="","",IFERROR("BTM-"&amp;LEFT(C154,3)&amp;"-"&amp;E154&amp;"-"&amp;TEXT(TODAY(),"YY")&amp;"-"&amp;TEXT(A154,"000"),"")))</f>
        <v/>
      </c>
      <c r="C154" s="26"/>
      <c r="D154" s="26"/>
      <c r="E154" s="26"/>
      <c r="F154" s="26"/>
      <c r="G154" s="26"/>
      <c r="H154" s="26"/>
      <c r="I154" s="26"/>
      <c r="J154" s="27" t="str">
        <f aca="false">IF(F154="","",IF(I154="","",F154*I154))</f>
        <v/>
      </c>
      <c r="K154" s="26"/>
      <c r="L154" s="26"/>
      <c r="M154" s="27" t="str">
        <f aca="false">IF(OR(J154="",L154="",K154=""),"",IFERROR((J154-K154-IF(O154="Adjust in Plan",N154,0))/L154,"-"))</f>
        <v/>
      </c>
      <c r="N154" s="28"/>
      <c r="O154" s="28"/>
      <c r="P154" s="27" t="n">
        <f aca="false">IFERROR(SUMIF(INSTALMENTS!$C:$C,B154,INSTALMENTS!$I:$I),0)</f>
        <v>0</v>
      </c>
      <c r="Q154" s="27" t="str">
        <f aca="false">IF(J154="","",J154-P154)</f>
        <v/>
      </c>
      <c r="R154" s="25" t="str">
        <f aca="true">IF(J154="","",IF(Q154&lt;=0,"✅ Completed",IF(IFERROR(SUMPRODUCT((INSTALMENTS!$C:$C=B154)*(INSTALMENTS!$F:$F&lt;TODAY())*(INSTALMENTS!$I:$I&lt;INSTALMENTS!$H:$H)),0)&gt;0,"🔴 Overdue","🟢 Active")))</f>
        <v/>
      </c>
      <c r="S154" s="26"/>
      <c r="T154" s="26"/>
      <c r="U154" s="26"/>
      <c r="V154" s="26"/>
      <c r="W154" s="26"/>
      <c r="X154" s="29"/>
      <c r="Y154" s="29"/>
      <c r="Z154" s="29"/>
      <c r="AA154" s="29"/>
      <c r="AB154" s="29"/>
      <c r="AC154" s="29"/>
      <c r="AD154" s="30"/>
      <c r="AE154" s="30"/>
      <c r="AF154" s="30"/>
      <c r="AG154" s="30"/>
      <c r="AH154" s="31"/>
      <c r="AI154" s="31"/>
      <c r="AJ154" s="31"/>
      <c r="AK154" s="31"/>
      <c r="AL154" s="31"/>
      <c r="AM154" s="31"/>
      <c r="AN154" s="26"/>
      <c r="AO154" s="26"/>
      <c r="AP154" s="26"/>
      <c r="AQ154" s="26"/>
      <c r="AR154" s="26"/>
      <c r="AS154" s="26"/>
      <c r="AT154" s="26"/>
      <c r="AU154" s="26"/>
      <c r="AV154" s="32"/>
    </row>
    <row r="155" customFormat="false" ht="15" hidden="false" customHeight="false" outlineLevel="0" collapsed="false">
      <c r="A155" s="24" t="n">
        <v>152</v>
      </c>
      <c r="B155" s="25" t="str">
        <f aca="true">IF(C155="","",IF(E155="","",IFERROR("BTM-"&amp;LEFT(C155,3)&amp;"-"&amp;E155&amp;"-"&amp;TEXT(TODAY(),"YY")&amp;"-"&amp;TEXT(A155,"000"),"")))</f>
        <v/>
      </c>
      <c r="C155" s="26"/>
      <c r="D155" s="26"/>
      <c r="E155" s="26"/>
      <c r="F155" s="26"/>
      <c r="G155" s="26"/>
      <c r="H155" s="26"/>
      <c r="I155" s="26"/>
      <c r="J155" s="27" t="str">
        <f aca="false">IF(F155="","",IF(I155="","",F155*I155))</f>
        <v/>
      </c>
      <c r="K155" s="26"/>
      <c r="L155" s="26"/>
      <c r="M155" s="27" t="str">
        <f aca="false">IF(OR(J155="",L155="",K155=""),"",IFERROR((J155-K155-IF(O155="Adjust in Plan",N155,0))/L155,"-"))</f>
        <v/>
      </c>
      <c r="N155" s="28"/>
      <c r="O155" s="28"/>
      <c r="P155" s="27" t="n">
        <f aca="false">IFERROR(SUMIF(INSTALMENTS!$C:$C,B155,INSTALMENTS!$I:$I),0)</f>
        <v>0</v>
      </c>
      <c r="Q155" s="27" t="str">
        <f aca="false">IF(J155="","",J155-P155)</f>
        <v/>
      </c>
      <c r="R155" s="25" t="str">
        <f aca="true">IF(J155="","",IF(Q155&lt;=0,"✅ Completed",IF(IFERROR(SUMPRODUCT((INSTALMENTS!$C:$C=B155)*(INSTALMENTS!$F:$F&lt;TODAY())*(INSTALMENTS!$I:$I&lt;INSTALMENTS!$H:$H)),0)&gt;0,"🔴 Overdue","🟢 Active")))</f>
        <v/>
      </c>
      <c r="S155" s="26"/>
      <c r="T155" s="26"/>
      <c r="U155" s="26"/>
      <c r="V155" s="26"/>
      <c r="W155" s="26"/>
      <c r="X155" s="29"/>
      <c r="Y155" s="29"/>
      <c r="Z155" s="29"/>
      <c r="AA155" s="29"/>
      <c r="AB155" s="29"/>
      <c r="AC155" s="29"/>
      <c r="AD155" s="30"/>
      <c r="AE155" s="30"/>
      <c r="AF155" s="30"/>
      <c r="AG155" s="30"/>
      <c r="AH155" s="31"/>
      <c r="AI155" s="31"/>
      <c r="AJ155" s="31"/>
      <c r="AK155" s="31"/>
      <c r="AL155" s="31"/>
      <c r="AM155" s="31"/>
      <c r="AN155" s="26"/>
      <c r="AO155" s="26"/>
      <c r="AP155" s="26"/>
      <c r="AQ155" s="26"/>
      <c r="AR155" s="26"/>
      <c r="AS155" s="26"/>
      <c r="AT155" s="26"/>
      <c r="AU155" s="26"/>
      <c r="AV155" s="32"/>
    </row>
    <row r="156" customFormat="false" ht="15" hidden="false" customHeight="false" outlineLevel="0" collapsed="false">
      <c r="A156" s="24" t="n">
        <v>153</v>
      </c>
      <c r="B156" s="25" t="str">
        <f aca="true">IF(C156="","",IF(E156="","",IFERROR("BTM-"&amp;LEFT(C156,3)&amp;"-"&amp;E156&amp;"-"&amp;TEXT(TODAY(),"YY")&amp;"-"&amp;TEXT(A156,"000"),"")))</f>
        <v/>
      </c>
      <c r="C156" s="26"/>
      <c r="D156" s="26"/>
      <c r="E156" s="26"/>
      <c r="F156" s="26"/>
      <c r="G156" s="26"/>
      <c r="H156" s="26"/>
      <c r="I156" s="26"/>
      <c r="J156" s="27" t="str">
        <f aca="false">IF(F156="","",IF(I156="","",F156*I156))</f>
        <v/>
      </c>
      <c r="K156" s="26"/>
      <c r="L156" s="26"/>
      <c r="M156" s="27" t="str">
        <f aca="false">IF(OR(J156="",L156="",K156=""),"",IFERROR((J156-K156-IF(O156="Adjust in Plan",N156,0))/L156,"-"))</f>
        <v/>
      </c>
      <c r="N156" s="28"/>
      <c r="O156" s="28"/>
      <c r="P156" s="27" t="n">
        <f aca="false">IFERROR(SUMIF(INSTALMENTS!$C:$C,B156,INSTALMENTS!$I:$I),0)</f>
        <v>0</v>
      </c>
      <c r="Q156" s="27" t="str">
        <f aca="false">IF(J156="","",J156-P156)</f>
        <v/>
      </c>
      <c r="R156" s="25" t="str">
        <f aca="true">IF(J156="","",IF(Q156&lt;=0,"✅ Completed",IF(IFERROR(SUMPRODUCT((INSTALMENTS!$C:$C=B156)*(INSTALMENTS!$F:$F&lt;TODAY())*(INSTALMENTS!$I:$I&lt;INSTALMENTS!$H:$H)),0)&gt;0,"🔴 Overdue","🟢 Active")))</f>
        <v/>
      </c>
      <c r="S156" s="26"/>
      <c r="T156" s="26"/>
      <c r="U156" s="26"/>
      <c r="V156" s="26"/>
      <c r="W156" s="26"/>
      <c r="X156" s="29"/>
      <c r="Y156" s="29"/>
      <c r="Z156" s="29"/>
      <c r="AA156" s="29"/>
      <c r="AB156" s="29"/>
      <c r="AC156" s="29"/>
      <c r="AD156" s="30"/>
      <c r="AE156" s="30"/>
      <c r="AF156" s="30"/>
      <c r="AG156" s="30"/>
      <c r="AH156" s="31"/>
      <c r="AI156" s="31"/>
      <c r="AJ156" s="31"/>
      <c r="AK156" s="31"/>
      <c r="AL156" s="31"/>
      <c r="AM156" s="31"/>
      <c r="AN156" s="26"/>
      <c r="AO156" s="26"/>
      <c r="AP156" s="26"/>
      <c r="AQ156" s="26"/>
      <c r="AR156" s="26"/>
      <c r="AS156" s="26"/>
      <c r="AT156" s="26"/>
      <c r="AU156" s="26"/>
      <c r="AV156" s="32"/>
    </row>
    <row r="157" customFormat="false" ht="15" hidden="false" customHeight="false" outlineLevel="0" collapsed="false">
      <c r="A157" s="24" t="n">
        <v>154</v>
      </c>
      <c r="B157" s="25" t="str">
        <f aca="true">IF(C157="","",IF(E157="","",IFERROR("BTM-"&amp;LEFT(C157,3)&amp;"-"&amp;E157&amp;"-"&amp;TEXT(TODAY(),"YY")&amp;"-"&amp;TEXT(A157,"000"),"")))</f>
        <v/>
      </c>
      <c r="C157" s="26"/>
      <c r="D157" s="26"/>
      <c r="E157" s="26"/>
      <c r="F157" s="26"/>
      <c r="G157" s="26"/>
      <c r="H157" s="26"/>
      <c r="I157" s="26"/>
      <c r="J157" s="27" t="str">
        <f aca="false">IF(F157="","",IF(I157="","",F157*I157))</f>
        <v/>
      </c>
      <c r="K157" s="26"/>
      <c r="L157" s="26"/>
      <c r="M157" s="27" t="str">
        <f aca="false">IF(OR(J157="",L157="",K157=""),"",IFERROR((J157-K157-IF(O157="Adjust in Plan",N157,0))/L157,"-"))</f>
        <v/>
      </c>
      <c r="N157" s="28"/>
      <c r="O157" s="28"/>
      <c r="P157" s="27" t="n">
        <f aca="false">IFERROR(SUMIF(INSTALMENTS!$C:$C,B157,INSTALMENTS!$I:$I),0)</f>
        <v>0</v>
      </c>
      <c r="Q157" s="27" t="str">
        <f aca="false">IF(J157="","",J157-P157)</f>
        <v/>
      </c>
      <c r="R157" s="25" t="str">
        <f aca="true">IF(J157="","",IF(Q157&lt;=0,"✅ Completed",IF(IFERROR(SUMPRODUCT((INSTALMENTS!$C:$C=B157)*(INSTALMENTS!$F:$F&lt;TODAY())*(INSTALMENTS!$I:$I&lt;INSTALMENTS!$H:$H)),0)&gt;0,"🔴 Overdue","🟢 Active")))</f>
        <v/>
      </c>
      <c r="S157" s="26"/>
      <c r="T157" s="26"/>
      <c r="U157" s="26"/>
      <c r="V157" s="26"/>
      <c r="W157" s="26"/>
      <c r="X157" s="29"/>
      <c r="Y157" s="29"/>
      <c r="Z157" s="29"/>
      <c r="AA157" s="29"/>
      <c r="AB157" s="29"/>
      <c r="AC157" s="29"/>
      <c r="AD157" s="30"/>
      <c r="AE157" s="30"/>
      <c r="AF157" s="30"/>
      <c r="AG157" s="30"/>
      <c r="AH157" s="31"/>
      <c r="AI157" s="31"/>
      <c r="AJ157" s="31"/>
      <c r="AK157" s="31"/>
      <c r="AL157" s="31"/>
      <c r="AM157" s="31"/>
      <c r="AN157" s="26"/>
      <c r="AO157" s="26"/>
      <c r="AP157" s="26"/>
      <c r="AQ157" s="26"/>
      <c r="AR157" s="26"/>
      <c r="AS157" s="26"/>
      <c r="AT157" s="26"/>
      <c r="AU157" s="26"/>
      <c r="AV157" s="32"/>
    </row>
    <row r="158" customFormat="false" ht="15" hidden="false" customHeight="false" outlineLevel="0" collapsed="false">
      <c r="A158" s="24" t="n">
        <v>155</v>
      </c>
      <c r="B158" s="25" t="str">
        <f aca="true">IF(C158="","",IF(E158="","",IFERROR("BTM-"&amp;LEFT(C158,3)&amp;"-"&amp;E158&amp;"-"&amp;TEXT(TODAY(),"YY")&amp;"-"&amp;TEXT(A158,"000"),"")))</f>
        <v/>
      </c>
      <c r="C158" s="26"/>
      <c r="D158" s="26"/>
      <c r="E158" s="26"/>
      <c r="F158" s="26"/>
      <c r="G158" s="26"/>
      <c r="H158" s="26"/>
      <c r="I158" s="26"/>
      <c r="J158" s="27" t="str">
        <f aca="false">IF(F158="","",IF(I158="","",F158*I158))</f>
        <v/>
      </c>
      <c r="K158" s="26"/>
      <c r="L158" s="26"/>
      <c r="M158" s="27" t="str">
        <f aca="false">IF(OR(J158="",L158="",K158=""),"",IFERROR((J158-K158-IF(O158="Adjust in Plan",N158,0))/L158,"-"))</f>
        <v/>
      </c>
      <c r="N158" s="28"/>
      <c r="O158" s="28"/>
      <c r="P158" s="27" t="n">
        <f aca="false">IFERROR(SUMIF(INSTALMENTS!$C:$C,B158,INSTALMENTS!$I:$I),0)</f>
        <v>0</v>
      </c>
      <c r="Q158" s="27" t="str">
        <f aca="false">IF(J158="","",J158-P158)</f>
        <v/>
      </c>
      <c r="R158" s="25" t="str">
        <f aca="true">IF(J158="","",IF(Q158&lt;=0,"✅ Completed",IF(IFERROR(SUMPRODUCT((INSTALMENTS!$C:$C=B158)*(INSTALMENTS!$F:$F&lt;TODAY())*(INSTALMENTS!$I:$I&lt;INSTALMENTS!$H:$H)),0)&gt;0,"🔴 Overdue","🟢 Active")))</f>
        <v/>
      </c>
      <c r="S158" s="26"/>
      <c r="T158" s="26"/>
      <c r="U158" s="26"/>
      <c r="V158" s="26"/>
      <c r="W158" s="26"/>
      <c r="X158" s="29"/>
      <c r="Y158" s="29"/>
      <c r="Z158" s="29"/>
      <c r="AA158" s="29"/>
      <c r="AB158" s="29"/>
      <c r="AC158" s="29"/>
      <c r="AD158" s="30"/>
      <c r="AE158" s="30"/>
      <c r="AF158" s="30"/>
      <c r="AG158" s="30"/>
      <c r="AH158" s="31"/>
      <c r="AI158" s="31"/>
      <c r="AJ158" s="31"/>
      <c r="AK158" s="31"/>
      <c r="AL158" s="31"/>
      <c r="AM158" s="31"/>
      <c r="AN158" s="26"/>
      <c r="AO158" s="26"/>
      <c r="AP158" s="26"/>
      <c r="AQ158" s="26"/>
      <c r="AR158" s="26"/>
      <c r="AS158" s="26"/>
      <c r="AT158" s="26"/>
      <c r="AU158" s="26"/>
      <c r="AV158" s="32"/>
    </row>
    <row r="159" customFormat="false" ht="15" hidden="false" customHeight="false" outlineLevel="0" collapsed="false">
      <c r="A159" s="24" t="n">
        <v>156</v>
      </c>
      <c r="B159" s="25" t="str">
        <f aca="true">IF(C159="","",IF(E159="","",IFERROR("BTM-"&amp;LEFT(C159,3)&amp;"-"&amp;E159&amp;"-"&amp;TEXT(TODAY(),"YY")&amp;"-"&amp;TEXT(A159,"000"),"")))</f>
        <v/>
      </c>
      <c r="C159" s="26"/>
      <c r="D159" s="26"/>
      <c r="E159" s="26"/>
      <c r="F159" s="26"/>
      <c r="G159" s="26"/>
      <c r="H159" s="26"/>
      <c r="I159" s="26"/>
      <c r="J159" s="27" t="str">
        <f aca="false">IF(F159="","",IF(I159="","",F159*I159))</f>
        <v/>
      </c>
      <c r="K159" s="26"/>
      <c r="L159" s="26"/>
      <c r="M159" s="27" t="str">
        <f aca="false">IF(OR(J159="",L159="",K159=""),"",IFERROR((J159-K159-IF(O159="Adjust in Plan",N159,0))/L159,"-"))</f>
        <v/>
      </c>
      <c r="N159" s="28"/>
      <c r="O159" s="28"/>
      <c r="P159" s="27" t="n">
        <f aca="false">IFERROR(SUMIF(INSTALMENTS!$C:$C,B159,INSTALMENTS!$I:$I),0)</f>
        <v>0</v>
      </c>
      <c r="Q159" s="27" t="str">
        <f aca="false">IF(J159="","",J159-P159)</f>
        <v/>
      </c>
      <c r="R159" s="25" t="str">
        <f aca="true">IF(J159="","",IF(Q159&lt;=0,"✅ Completed",IF(IFERROR(SUMPRODUCT((INSTALMENTS!$C:$C=B159)*(INSTALMENTS!$F:$F&lt;TODAY())*(INSTALMENTS!$I:$I&lt;INSTALMENTS!$H:$H)),0)&gt;0,"🔴 Overdue","🟢 Active")))</f>
        <v/>
      </c>
      <c r="S159" s="26"/>
      <c r="T159" s="26"/>
      <c r="U159" s="26"/>
      <c r="V159" s="26"/>
      <c r="W159" s="26"/>
      <c r="X159" s="29"/>
      <c r="Y159" s="29"/>
      <c r="Z159" s="29"/>
      <c r="AA159" s="29"/>
      <c r="AB159" s="29"/>
      <c r="AC159" s="29"/>
      <c r="AD159" s="30"/>
      <c r="AE159" s="30"/>
      <c r="AF159" s="30"/>
      <c r="AG159" s="30"/>
      <c r="AH159" s="31"/>
      <c r="AI159" s="31"/>
      <c r="AJ159" s="31"/>
      <c r="AK159" s="31"/>
      <c r="AL159" s="31"/>
      <c r="AM159" s="31"/>
      <c r="AN159" s="26"/>
      <c r="AO159" s="26"/>
      <c r="AP159" s="26"/>
      <c r="AQ159" s="26"/>
      <c r="AR159" s="26"/>
      <c r="AS159" s="26"/>
      <c r="AT159" s="26"/>
      <c r="AU159" s="26"/>
      <c r="AV159" s="32"/>
    </row>
    <row r="160" customFormat="false" ht="15" hidden="false" customHeight="false" outlineLevel="0" collapsed="false">
      <c r="A160" s="24" t="n">
        <v>157</v>
      </c>
      <c r="B160" s="25" t="str">
        <f aca="true">IF(C160="","",IF(E160="","",IFERROR("BTM-"&amp;LEFT(C160,3)&amp;"-"&amp;E160&amp;"-"&amp;TEXT(TODAY(),"YY")&amp;"-"&amp;TEXT(A160,"000"),"")))</f>
        <v/>
      </c>
      <c r="C160" s="26"/>
      <c r="D160" s="26"/>
      <c r="E160" s="26"/>
      <c r="F160" s="26"/>
      <c r="G160" s="26"/>
      <c r="H160" s="26"/>
      <c r="I160" s="26"/>
      <c r="J160" s="27" t="str">
        <f aca="false">IF(F160="","",IF(I160="","",F160*I160))</f>
        <v/>
      </c>
      <c r="K160" s="26"/>
      <c r="L160" s="26"/>
      <c r="M160" s="27" t="str">
        <f aca="false">IF(OR(J160="",L160="",K160=""),"",IFERROR((J160-K160-IF(O160="Adjust in Plan",N160,0))/L160,"-"))</f>
        <v/>
      </c>
      <c r="N160" s="28"/>
      <c r="O160" s="28"/>
      <c r="P160" s="27" t="n">
        <f aca="false">IFERROR(SUMIF(INSTALMENTS!$C:$C,B160,INSTALMENTS!$I:$I),0)</f>
        <v>0</v>
      </c>
      <c r="Q160" s="27" t="str">
        <f aca="false">IF(J160="","",J160-P160)</f>
        <v/>
      </c>
      <c r="R160" s="25" t="str">
        <f aca="true">IF(J160="","",IF(Q160&lt;=0,"✅ Completed",IF(IFERROR(SUMPRODUCT((INSTALMENTS!$C:$C=B160)*(INSTALMENTS!$F:$F&lt;TODAY())*(INSTALMENTS!$I:$I&lt;INSTALMENTS!$H:$H)),0)&gt;0,"🔴 Overdue","🟢 Active")))</f>
        <v/>
      </c>
      <c r="S160" s="26"/>
      <c r="T160" s="26"/>
      <c r="U160" s="26"/>
      <c r="V160" s="26"/>
      <c r="W160" s="26"/>
      <c r="X160" s="29"/>
      <c r="Y160" s="29"/>
      <c r="Z160" s="29"/>
      <c r="AA160" s="29"/>
      <c r="AB160" s="29"/>
      <c r="AC160" s="29"/>
      <c r="AD160" s="30"/>
      <c r="AE160" s="30"/>
      <c r="AF160" s="30"/>
      <c r="AG160" s="30"/>
      <c r="AH160" s="31"/>
      <c r="AI160" s="31"/>
      <c r="AJ160" s="31"/>
      <c r="AK160" s="31"/>
      <c r="AL160" s="31"/>
      <c r="AM160" s="31"/>
      <c r="AN160" s="26"/>
      <c r="AO160" s="26"/>
      <c r="AP160" s="26"/>
      <c r="AQ160" s="26"/>
      <c r="AR160" s="26"/>
      <c r="AS160" s="26"/>
      <c r="AT160" s="26"/>
      <c r="AU160" s="26"/>
      <c r="AV160" s="32"/>
    </row>
    <row r="161" customFormat="false" ht="15" hidden="false" customHeight="false" outlineLevel="0" collapsed="false">
      <c r="A161" s="24" t="n">
        <v>158</v>
      </c>
      <c r="B161" s="25" t="str">
        <f aca="true">IF(C161="","",IF(E161="","",IFERROR("BTM-"&amp;LEFT(C161,3)&amp;"-"&amp;E161&amp;"-"&amp;TEXT(TODAY(),"YY")&amp;"-"&amp;TEXT(A161,"000"),"")))</f>
        <v/>
      </c>
      <c r="C161" s="26"/>
      <c r="D161" s="26"/>
      <c r="E161" s="26"/>
      <c r="F161" s="26"/>
      <c r="G161" s="26"/>
      <c r="H161" s="26"/>
      <c r="I161" s="26"/>
      <c r="J161" s="27" t="str">
        <f aca="false">IF(F161="","",IF(I161="","",F161*I161))</f>
        <v/>
      </c>
      <c r="K161" s="26"/>
      <c r="L161" s="26"/>
      <c r="M161" s="27" t="str">
        <f aca="false">IF(OR(J161="",L161="",K161=""),"",IFERROR((J161-K161-IF(O161="Adjust in Plan",N161,0))/L161,"-"))</f>
        <v/>
      </c>
      <c r="N161" s="28"/>
      <c r="O161" s="28"/>
      <c r="P161" s="27" t="n">
        <f aca="false">IFERROR(SUMIF(INSTALMENTS!$C:$C,B161,INSTALMENTS!$I:$I),0)</f>
        <v>0</v>
      </c>
      <c r="Q161" s="27" t="str">
        <f aca="false">IF(J161="","",J161-P161)</f>
        <v/>
      </c>
      <c r="R161" s="25" t="str">
        <f aca="true">IF(J161="","",IF(Q161&lt;=0,"✅ Completed",IF(IFERROR(SUMPRODUCT((INSTALMENTS!$C:$C=B161)*(INSTALMENTS!$F:$F&lt;TODAY())*(INSTALMENTS!$I:$I&lt;INSTALMENTS!$H:$H)),0)&gt;0,"🔴 Overdue","🟢 Active")))</f>
        <v/>
      </c>
      <c r="S161" s="26"/>
      <c r="T161" s="26"/>
      <c r="U161" s="26"/>
      <c r="V161" s="26"/>
      <c r="W161" s="26"/>
      <c r="X161" s="29"/>
      <c r="Y161" s="29"/>
      <c r="Z161" s="29"/>
      <c r="AA161" s="29"/>
      <c r="AB161" s="29"/>
      <c r="AC161" s="29"/>
      <c r="AD161" s="30"/>
      <c r="AE161" s="30"/>
      <c r="AF161" s="30"/>
      <c r="AG161" s="30"/>
      <c r="AH161" s="31"/>
      <c r="AI161" s="31"/>
      <c r="AJ161" s="31"/>
      <c r="AK161" s="31"/>
      <c r="AL161" s="31"/>
      <c r="AM161" s="31"/>
      <c r="AN161" s="26"/>
      <c r="AO161" s="26"/>
      <c r="AP161" s="26"/>
      <c r="AQ161" s="26"/>
      <c r="AR161" s="26"/>
      <c r="AS161" s="26"/>
      <c r="AT161" s="26"/>
      <c r="AU161" s="26"/>
      <c r="AV161" s="32"/>
    </row>
    <row r="162" customFormat="false" ht="15" hidden="false" customHeight="false" outlineLevel="0" collapsed="false">
      <c r="A162" s="24" t="n">
        <v>159</v>
      </c>
      <c r="B162" s="25" t="str">
        <f aca="true">IF(C162="","",IF(E162="","",IFERROR("BTM-"&amp;LEFT(C162,3)&amp;"-"&amp;E162&amp;"-"&amp;TEXT(TODAY(),"YY")&amp;"-"&amp;TEXT(A162,"000"),"")))</f>
        <v/>
      </c>
      <c r="C162" s="26"/>
      <c r="D162" s="26"/>
      <c r="E162" s="26"/>
      <c r="F162" s="26"/>
      <c r="G162" s="26"/>
      <c r="H162" s="26"/>
      <c r="I162" s="26"/>
      <c r="J162" s="27" t="str">
        <f aca="false">IF(F162="","",IF(I162="","",F162*I162))</f>
        <v/>
      </c>
      <c r="K162" s="26"/>
      <c r="L162" s="26"/>
      <c r="M162" s="27" t="str">
        <f aca="false">IF(OR(J162="",L162="",K162=""),"",IFERROR((J162-K162-IF(O162="Adjust in Plan",N162,0))/L162,"-"))</f>
        <v/>
      </c>
      <c r="N162" s="28"/>
      <c r="O162" s="28"/>
      <c r="P162" s="27" t="n">
        <f aca="false">IFERROR(SUMIF(INSTALMENTS!$C:$C,B162,INSTALMENTS!$I:$I),0)</f>
        <v>0</v>
      </c>
      <c r="Q162" s="27" t="str">
        <f aca="false">IF(J162="","",J162-P162)</f>
        <v/>
      </c>
      <c r="R162" s="25" t="str">
        <f aca="true">IF(J162="","",IF(Q162&lt;=0,"✅ Completed",IF(IFERROR(SUMPRODUCT((INSTALMENTS!$C:$C=B162)*(INSTALMENTS!$F:$F&lt;TODAY())*(INSTALMENTS!$I:$I&lt;INSTALMENTS!$H:$H)),0)&gt;0,"🔴 Overdue","🟢 Active")))</f>
        <v/>
      </c>
      <c r="S162" s="26"/>
      <c r="T162" s="26"/>
      <c r="U162" s="26"/>
      <c r="V162" s="26"/>
      <c r="W162" s="26"/>
      <c r="X162" s="29"/>
      <c r="Y162" s="29"/>
      <c r="Z162" s="29"/>
      <c r="AA162" s="29"/>
      <c r="AB162" s="29"/>
      <c r="AC162" s="29"/>
      <c r="AD162" s="30"/>
      <c r="AE162" s="30"/>
      <c r="AF162" s="30"/>
      <c r="AG162" s="30"/>
      <c r="AH162" s="31"/>
      <c r="AI162" s="31"/>
      <c r="AJ162" s="31"/>
      <c r="AK162" s="31"/>
      <c r="AL162" s="31"/>
      <c r="AM162" s="31"/>
      <c r="AN162" s="26"/>
      <c r="AO162" s="26"/>
      <c r="AP162" s="26"/>
      <c r="AQ162" s="26"/>
      <c r="AR162" s="26"/>
      <c r="AS162" s="26"/>
      <c r="AT162" s="26"/>
      <c r="AU162" s="26"/>
      <c r="AV162" s="32"/>
    </row>
    <row r="163" customFormat="false" ht="15" hidden="false" customHeight="false" outlineLevel="0" collapsed="false">
      <c r="A163" s="24" t="n">
        <v>160</v>
      </c>
      <c r="B163" s="25" t="str">
        <f aca="true">IF(C163="","",IF(E163="","",IFERROR("BTM-"&amp;LEFT(C163,3)&amp;"-"&amp;E163&amp;"-"&amp;TEXT(TODAY(),"YY")&amp;"-"&amp;TEXT(A163,"000"),"")))</f>
        <v/>
      </c>
      <c r="C163" s="26"/>
      <c r="D163" s="26"/>
      <c r="E163" s="26"/>
      <c r="F163" s="26"/>
      <c r="G163" s="26"/>
      <c r="H163" s="26"/>
      <c r="I163" s="26"/>
      <c r="J163" s="27" t="str">
        <f aca="false">IF(F163="","",IF(I163="","",F163*I163))</f>
        <v/>
      </c>
      <c r="K163" s="26"/>
      <c r="L163" s="26"/>
      <c r="M163" s="27" t="str">
        <f aca="false">IF(OR(J163="",L163="",K163=""),"",IFERROR((J163-K163-IF(O163="Adjust in Plan",N163,0))/L163,"-"))</f>
        <v/>
      </c>
      <c r="N163" s="28"/>
      <c r="O163" s="28"/>
      <c r="P163" s="27" t="n">
        <f aca="false">IFERROR(SUMIF(INSTALMENTS!$C:$C,B163,INSTALMENTS!$I:$I),0)</f>
        <v>0</v>
      </c>
      <c r="Q163" s="27" t="str">
        <f aca="false">IF(J163="","",J163-P163)</f>
        <v/>
      </c>
      <c r="R163" s="25" t="str">
        <f aca="true">IF(J163="","",IF(Q163&lt;=0,"✅ Completed",IF(IFERROR(SUMPRODUCT((INSTALMENTS!$C:$C=B163)*(INSTALMENTS!$F:$F&lt;TODAY())*(INSTALMENTS!$I:$I&lt;INSTALMENTS!$H:$H)),0)&gt;0,"🔴 Overdue","🟢 Active")))</f>
        <v/>
      </c>
      <c r="S163" s="26"/>
      <c r="T163" s="26"/>
      <c r="U163" s="26"/>
      <c r="V163" s="26"/>
      <c r="W163" s="26"/>
      <c r="X163" s="29"/>
      <c r="Y163" s="29"/>
      <c r="Z163" s="29"/>
      <c r="AA163" s="29"/>
      <c r="AB163" s="29"/>
      <c r="AC163" s="29"/>
      <c r="AD163" s="30"/>
      <c r="AE163" s="30"/>
      <c r="AF163" s="30"/>
      <c r="AG163" s="30"/>
      <c r="AH163" s="31"/>
      <c r="AI163" s="31"/>
      <c r="AJ163" s="31"/>
      <c r="AK163" s="31"/>
      <c r="AL163" s="31"/>
      <c r="AM163" s="31"/>
      <c r="AN163" s="26"/>
      <c r="AO163" s="26"/>
      <c r="AP163" s="26"/>
      <c r="AQ163" s="26"/>
      <c r="AR163" s="26"/>
      <c r="AS163" s="26"/>
      <c r="AT163" s="26"/>
      <c r="AU163" s="26"/>
      <c r="AV163" s="32"/>
    </row>
    <row r="164" customFormat="false" ht="15" hidden="false" customHeight="false" outlineLevel="0" collapsed="false">
      <c r="A164" s="24" t="n">
        <v>161</v>
      </c>
      <c r="B164" s="25" t="str">
        <f aca="true">IF(C164="","",IF(E164="","",IFERROR("BTM-"&amp;LEFT(C164,3)&amp;"-"&amp;E164&amp;"-"&amp;TEXT(TODAY(),"YY")&amp;"-"&amp;TEXT(A164,"000"),"")))</f>
        <v/>
      </c>
      <c r="C164" s="26"/>
      <c r="D164" s="26"/>
      <c r="E164" s="26"/>
      <c r="F164" s="26"/>
      <c r="G164" s="26"/>
      <c r="H164" s="26"/>
      <c r="I164" s="26"/>
      <c r="J164" s="27" t="str">
        <f aca="false">IF(F164="","",IF(I164="","",F164*I164))</f>
        <v/>
      </c>
      <c r="K164" s="26"/>
      <c r="L164" s="26"/>
      <c r="M164" s="27" t="str">
        <f aca="false">IF(OR(J164="",L164="",K164=""),"",IFERROR((J164-K164-IF(O164="Adjust in Plan",N164,0))/L164,"-"))</f>
        <v/>
      </c>
      <c r="N164" s="28"/>
      <c r="O164" s="28"/>
      <c r="P164" s="27" t="n">
        <f aca="false">IFERROR(SUMIF(INSTALMENTS!$C:$C,B164,INSTALMENTS!$I:$I),0)</f>
        <v>0</v>
      </c>
      <c r="Q164" s="27" t="str">
        <f aca="false">IF(J164="","",J164-P164)</f>
        <v/>
      </c>
      <c r="R164" s="25" t="str">
        <f aca="true">IF(J164="","",IF(Q164&lt;=0,"✅ Completed",IF(IFERROR(SUMPRODUCT((INSTALMENTS!$C:$C=B164)*(INSTALMENTS!$F:$F&lt;TODAY())*(INSTALMENTS!$I:$I&lt;INSTALMENTS!$H:$H)),0)&gt;0,"🔴 Overdue","🟢 Active")))</f>
        <v/>
      </c>
      <c r="S164" s="26"/>
      <c r="T164" s="26"/>
      <c r="U164" s="26"/>
      <c r="V164" s="26"/>
      <c r="W164" s="26"/>
      <c r="X164" s="29"/>
      <c r="Y164" s="29"/>
      <c r="Z164" s="29"/>
      <c r="AA164" s="29"/>
      <c r="AB164" s="29"/>
      <c r="AC164" s="29"/>
      <c r="AD164" s="30"/>
      <c r="AE164" s="30"/>
      <c r="AF164" s="30"/>
      <c r="AG164" s="30"/>
      <c r="AH164" s="31"/>
      <c r="AI164" s="31"/>
      <c r="AJ164" s="31"/>
      <c r="AK164" s="31"/>
      <c r="AL164" s="31"/>
      <c r="AM164" s="31"/>
      <c r="AN164" s="26"/>
      <c r="AO164" s="26"/>
      <c r="AP164" s="26"/>
      <c r="AQ164" s="26"/>
      <c r="AR164" s="26"/>
      <c r="AS164" s="26"/>
      <c r="AT164" s="26"/>
      <c r="AU164" s="26"/>
      <c r="AV164" s="32"/>
    </row>
    <row r="165" customFormat="false" ht="15" hidden="false" customHeight="false" outlineLevel="0" collapsed="false">
      <c r="A165" s="24" t="n">
        <v>162</v>
      </c>
      <c r="B165" s="25" t="str">
        <f aca="true">IF(C165="","",IF(E165="","",IFERROR("BTM-"&amp;LEFT(C165,3)&amp;"-"&amp;E165&amp;"-"&amp;TEXT(TODAY(),"YY")&amp;"-"&amp;TEXT(A165,"000"),"")))</f>
        <v/>
      </c>
      <c r="C165" s="26"/>
      <c r="D165" s="26"/>
      <c r="E165" s="26"/>
      <c r="F165" s="26"/>
      <c r="G165" s="26"/>
      <c r="H165" s="26"/>
      <c r="I165" s="26"/>
      <c r="J165" s="27" t="str">
        <f aca="false">IF(F165="","",IF(I165="","",F165*I165))</f>
        <v/>
      </c>
      <c r="K165" s="26"/>
      <c r="L165" s="26"/>
      <c r="M165" s="27" t="str">
        <f aca="false">IF(OR(J165="",L165="",K165=""),"",IFERROR((J165-K165-IF(O165="Adjust in Plan",N165,0))/L165,"-"))</f>
        <v/>
      </c>
      <c r="N165" s="28"/>
      <c r="O165" s="28"/>
      <c r="P165" s="27" t="n">
        <f aca="false">IFERROR(SUMIF(INSTALMENTS!$C:$C,B165,INSTALMENTS!$I:$I),0)</f>
        <v>0</v>
      </c>
      <c r="Q165" s="27" t="str">
        <f aca="false">IF(J165="","",J165-P165)</f>
        <v/>
      </c>
      <c r="R165" s="25" t="str">
        <f aca="true">IF(J165="","",IF(Q165&lt;=0,"✅ Completed",IF(IFERROR(SUMPRODUCT((INSTALMENTS!$C:$C=B165)*(INSTALMENTS!$F:$F&lt;TODAY())*(INSTALMENTS!$I:$I&lt;INSTALMENTS!$H:$H)),0)&gt;0,"🔴 Overdue","🟢 Active")))</f>
        <v/>
      </c>
      <c r="S165" s="26"/>
      <c r="T165" s="26"/>
      <c r="U165" s="26"/>
      <c r="V165" s="26"/>
      <c r="W165" s="26"/>
      <c r="X165" s="29"/>
      <c r="Y165" s="29"/>
      <c r="Z165" s="29"/>
      <c r="AA165" s="29"/>
      <c r="AB165" s="29"/>
      <c r="AC165" s="29"/>
      <c r="AD165" s="30"/>
      <c r="AE165" s="30"/>
      <c r="AF165" s="30"/>
      <c r="AG165" s="30"/>
      <c r="AH165" s="31"/>
      <c r="AI165" s="31"/>
      <c r="AJ165" s="31"/>
      <c r="AK165" s="31"/>
      <c r="AL165" s="31"/>
      <c r="AM165" s="31"/>
      <c r="AN165" s="26"/>
      <c r="AO165" s="26"/>
      <c r="AP165" s="26"/>
      <c r="AQ165" s="26"/>
      <c r="AR165" s="26"/>
      <c r="AS165" s="26"/>
      <c r="AT165" s="26"/>
      <c r="AU165" s="26"/>
      <c r="AV165" s="32"/>
    </row>
    <row r="166" customFormat="false" ht="15" hidden="false" customHeight="false" outlineLevel="0" collapsed="false">
      <c r="A166" s="24" t="n">
        <v>163</v>
      </c>
      <c r="B166" s="25" t="str">
        <f aca="true">IF(C166="","",IF(E166="","",IFERROR("BTM-"&amp;LEFT(C166,3)&amp;"-"&amp;E166&amp;"-"&amp;TEXT(TODAY(),"YY")&amp;"-"&amp;TEXT(A166,"000"),"")))</f>
        <v/>
      </c>
      <c r="C166" s="26"/>
      <c r="D166" s="26"/>
      <c r="E166" s="26"/>
      <c r="F166" s="26"/>
      <c r="G166" s="26"/>
      <c r="H166" s="26"/>
      <c r="I166" s="26"/>
      <c r="J166" s="27" t="str">
        <f aca="false">IF(F166="","",IF(I166="","",F166*I166))</f>
        <v/>
      </c>
      <c r="K166" s="26"/>
      <c r="L166" s="26"/>
      <c r="M166" s="27" t="str">
        <f aca="false">IF(OR(J166="",L166="",K166=""),"",IFERROR((J166-K166-IF(O166="Adjust in Plan",N166,0))/L166,"-"))</f>
        <v/>
      </c>
      <c r="N166" s="28"/>
      <c r="O166" s="28"/>
      <c r="P166" s="27" t="n">
        <f aca="false">IFERROR(SUMIF(INSTALMENTS!$C:$C,B166,INSTALMENTS!$I:$I),0)</f>
        <v>0</v>
      </c>
      <c r="Q166" s="27" t="str">
        <f aca="false">IF(J166="","",J166-P166)</f>
        <v/>
      </c>
      <c r="R166" s="25" t="str">
        <f aca="true">IF(J166="","",IF(Q166&lt;=0,"✅ Completed",IF(IFERROR(SUMPRODUCT((INSTALMENTS!$C:$C=B166)*(INSTALMENTS!$F:$F&lt;TODAY())*(INSTALMENTS!$I:$I&lt;INSTALMENTS!$H:$H)),0)&gt;0,"🔴 Overdue","🟢 Active")))</f>
        <v/>
      </c>
      <c r="S166" s="26"/>
      <c r="T166" s="26"/>
      <c r="U166" s="26"/>
      <c r="V166" s="26"/>
      <c r="W166" s="26"/>
      <c r="X166" s="29"/>
      <c r="Y166" s="29"/>
      <c r="Z166" s="29"/>
      <c r="AA166" s="29"/>
      <c r="AB166" s="29"/>
      <c r="AC166" s="29"/>
      <c r="AD166" s="30"/>
      <c r="AE166" s="30"/>
      <c r="AF166" s="30"/>
      <c r="AG166" s="30"/>
      <c r="AH166" s="31"/>
      <c r="AI166" s="31"/>
      <c r="AJ166" s="31"/>
      <c r="AK166" s="31"/>
      <c r="AL166" s="31"/>
      <c r="AM166" s="31"/>
      <c r="AN166" s="26"/>
      <c r="AO166" s="26"/>
      <c r="AP166" s="26"/>
      <c r="AQ166" s="26"/>
      <c r="AR166" s="26"/>
      <c r="AS166" s="26"/>
      <c r="AT166" s="26"/>
      <c r="AU166" s="26"/>
      <c r="AV166" s="32"/>
    </row>
    <row r="167" customFormat="false" ht="15" hidden="false" customHeight="false" outlineLevel="0" collapsed="false">
      <c r="A167" s="24" t="n">
        <v>164</v>
      </c>
      <c r="B167" s="25" t="str">
        <f aca="true">IF(C167="","",IF(E167="","",IFERROR("BTM-"&amp;LEFT(C167,3)&amp;"-"&amp;E167&amp;"-"&amp;TEXT(TODAY(),"YY")&amp;"-"&amp;TEXT(A167,"000"),"")))</f>
        <v/>
      </c>
      <c r="C167" s="26"/>
      <c r="D167" s="26"/>
      <c r="E167" s="26"/>
      <c r="F167" s="26"/>
      <c r="G167" s="26"/>
      <c r="H167" s="26"/>
      <c r="I167" s="26"/>
      <c r="J167" s="27" t="str">
        <f aca="false">IF(F167="","",IF(I167="","",F167*I167))</f>
        <v/>
      </c>
      <c r="K167" s="26"/>
      <c r="L167" s="26"/>
      <c r="M167" s="27" t="str">
        <f aca="false">IF(OR(J167="",L167="",K167=""),"",IFERROR((J167-K167-IF(O167="Adjust in Plan",N167,0))/L167,"-"))</f>
        <v/>
      </c>
      <c r="N167" s="28"/>
      <c r="O167" s="28"/>
      <c r="P167" s="27" t="n">
        <f aca="false">IFERROR(SUMIF(INSTALMENTS!$C:$C,B167,INSTALMENTS!$I:$I),0)</f>
        <v>0</v>
      </c>
      <c r="Q167" s="27" t="str">
        <f aca="false">IF(J167="","",J167-P167)</f>
        <v/>
      </c>
      <c r="R167" s="25" t="str">
        <f aca="true">IF(J167="","",IF(Q167&lt;=0,"✅ Completed",IF(IFERROR(SUMPRODUCT((INSTALMENTS!$C:$C=B167)*(INSTALMENTS!$F:$F&lt;TODAY())*(INSTALMENTS!$I:$I&lt;INSTALMENTS!$H:$H)),0)&gt;0,"🔴 Overdue","🟢 Active")))</f>
        <v/>
      </c>
      <c r="S167" s="26"/>
      <c r="T167" s="26"/>
      <c r="U167" s="26"/>
      <c r="V167" s="26"/>
      <c r="W167" s="26"/>
      <c r="X167" s="29"/>
      <c r="Y167" s="29"/>
      <c r="Z167" s="29"/>
      <c r="AA167" s="29"/>
      <c r="AB167" s="29"/>
      <c r="AC167" s="29"/>
      <c r="AD167" s="30"/>
      <c r="AE167" s="30"/>
      <c r="AF167" s="30"/>
      <c r="AG167" s="30"/>
      <c r="AH167" s="31"/>
      <c r="AI167" s="31"/>
      <c r="AJ167" s="31"/>
      <c r="AK167" s="31"/>
      <c r="AL167" s="31"/>
      <c r="AM167" s="31"/>
      <c r="AN167" s="26"/>
      <c r="AO167" s="26"/>
      <c r="AP167" s="26"/>
      <c r="AQ167" s="26"/>
      <c r="AR167" s="26"/>
      <c r="AS167" s="26"/>
      <c r="AT167" s="26"/>
      <c r="AU167" s="26"/>
      <c r="AV167" s="32"/>
    </row>
    <row r="168" customFormat="false" ht="15" hidden="false" customHeight="false" outlineLevel="0" collapsed="false">
      <c r="A168" s="24" t="n">
        <v>165</v>
      </c>
      <c r="B168" s="25" t="str">
        <f aca="true">IF(C168="","",IF(E168="","",IFERROR("BTM-"&amp;LEFT(C168,3)&amp;"-"&amp;E168&amp;"-"&amp;TEXT(TODAY(),"YY")&amp;"-"&amp;TEXT(A168,"000"),"")))</f>
        <v/>
      </c>
      <c r="C168" s="26"/>
      <c r="D168" s="26"/>
      <c r="E168" s="26"/>
      <c r="F168" s="26"/>
      <c r="G168" s="26"/>
      <c r="H168" s="26"/>
      <c r="I168" s="26"/>
      <c r="J168" s="27" t="str">
        <f aca="false">IF(F168="","",IF(I168="","",F168*I168))</f>
        <v/>
      </c>
      <c r="K168" s="26"/>
      <c r="L168" s="26"/>
      <c r="M168" s="27" t="str">
        <f aca="false">IF(OR(J168="",L168="",K168=""),"",IFERROR((J168-K168-IF(O168="Adjust in Plan",N168,0))/L168,"-"))</f>
        <v/>
      </c>
      <c r="N168" s="28"/>
      <c r="O168" s="28"/>
      <c r="P168" s="27" t="n">
        <f aca="false">IFERROR(SUMIF(INSTALMENTS!$C:$C,B168,INSTALMENTS!$I:$I),0)</f>
        <v>0</v>
      </c>
      <c r="Q168" s="27" t="str">
        <f aca="false">IF(J168="","",J168-P168)</f>
        <v/>
      </c>
      <c r="R168" s="25" t="str">
        <f aca="true">IF(J168="","",IF(Q168&lt;=0,"✅ Completed",IF(IFERROR(SUMPRODUCT((INSTALMENTS!$C:$C=B168)*(INSTALMENTS!$F:$F&lt;TODAY())*(INSTALMENTS!$I:$I&lt;INSTALMENTS!$H:$H)),0)&gt;0,"🔴 Overdue","🟢 Active")))</f>
        <v/>
      </c>
      <c r="S168" s="26"/>
      <c r="T168" s="26"/>
      <c r="U168" s="26"/>
      <c r="V168" s="26"/>
      <c r="W168" s="26"/>
      <c r="X168" s="29"/>
      <c r="Y168" s="29"/>
      <c r="Z168" s="29"/>
      <c r="AA168" s="29"/>
      <c r="AB168" s="29"/>
      <c r="AC168" s="29"/>
      <c r="AD168" s="30"/>
      <c r="AE168" s="30"/>
      <c r="AF168" s="30"/>
      <c r="AG168" s="30"/>
      <c r="AH168" s="31"/>
      <c r="AI168" s="31"/>
      <c r="AJ168" s="31"/>
      <c r="AK168" s="31"/>
      <c r="AL168" s="31"/>
      <c r="AM168" s="31"/>
      <c r="AN168" s="26"/>
      <c r="AO168" s="26"/>
      <c r="AP168" s="26"/>
      <c r="AQ168" s="26"/>
      <c r="AR168" s="26"/>
      <c r="AS168" s="26"/>
      <c r="AT168" s="26"/>
      <c r="AU168" s="26"/>
      <c r="AV168" s="32"/>
    </row>
    <row r="169" customFormat="false" ht="15" hidden="false" customHeight="false" outlineLevel="0" collapsed="false">
      <c r="A169" s="24" t="n">
        <v>166</v>
      </c>
      <c r="B169" s="25" t="str">
        <f aca="true">IF(C169="","",IF(E169="","",IFERROR("BTM-"&amp;LEFT(C169,3)&amp;"-"&amp;E169&amp;"-"&amp;TEXT(TODAY(),"YY")&amp;"-"&amp;TEXT(A169,"000"),"")))</f>
        <v/>
      </c>
      <c r="C169" s="26"/>
      <c r="D169" s="26"/>
      <c r="E169" s="26"/>
      <c r="F169" s="26"/>
      <c r="G169" s="26"/>
      <c r="H169" s="26"/>
      <c r="I169" s="26"/>
      <c r="J169" s="27" t="str">
        <f aca="false">IF(F169="","",IF(I169="","",F169*I169))</f>
        <v/>
      </c>
      <c r="K169" s="26"/>
      <c r="L169" s="26"/>
      <c r="M169" s="27" t="str">
        <f aca="false">IF(OR(J169="",L169="",K169=""),"",IFERROR((J169-K169-IF(O169="Adjust in Plan",N169,0))/L169,"-"))</f>
        <v/>
      </c>
      <c r="N169" s="28"/>
      <c r="O169" s="28"/>
      <c r="P169" s="27" t="n">
        <f aca="false">IFERROR(SUMIF(INSTALMENTS!$C:$C,B169,INSTALMENTS!$I:$I),0)</f>
        <v>0</v>
      </c>
      <c r="Q169" s="27" t="str">
        <f aca="false">IF(J169="","",J169-P169)</f>
        <v/>
      </c>
      <c r="R169" s="25" t="str">
        <f aca="true">IF(J169="","",IF(Q169&lt;=0,"✅ Completed",IF(IFERROR(SUMPRODUCT((INSTALMENTS!$C:$C=B169)*(INSTALMENTS!$F:$F&lt;TODAY())*(INSTALMENTS!$I:$I&lt;INSTALMENTS!$H:$H)),0)&gt;0,"🔴 Overdue","🟢 Active")))</f>
        <v/>
      </c>
      <c r="S169" s="26"/>
      <c r="T169" s="26"/>
      <c r="U169" s="26"/>
      <c r="V169" s="26"/>
      <c r="W169" s="26"/>
      <c r="X169" s="29"/>
      <c r="Y169" s="29"/>
      <c r="Z169" s="29"/>
      <c r="AA169" s="29"/>
      <c r="AB169" s="29"/>
      <c r="AC169" s="29"/>
      <c r="AD169" s="30"/>
      <c r="AE169" s="30"/>
      <c r="AF169" s="30"/>
      <c r="AG169" s="30"/>
      <c r="AH169" s="31"/>
      <c r="AI169" s="31"/>
      <c r="AJ169" s="31"/>
      <c r="AK169" s="31"/>
      <c r="AL169" s="31"/>
      <c r="AM169" s="31"/>
      <c r="AN169" s="26"/>
      <c r="AO169" s="26"/>
      <c r="AP169" s="26"/>
      <c r="AQ169" s="26"/>
      <c r="AR169" s="26"/>
      <c r="AS169" s="26"/>
      <c r="AT169" s="26"/>
      <c r="AU169" s="26"/>
      <c r="AV169" s="32"/>
    </row>
    <row r="170" customFormat="false" ht="15" hidden="false" customHeight="false" outlineLevel="0" collapsed="false">
      <c r="A170" s="24" t="n">
        <v>167</v>
      </c>
      <c r="B170" s="25" t="str">
        <f aca="true">IF(C170="","",IF(E170="","",IFERROR("BTM-"&amp;LEFT(C170,3)&amp;"-"&amp;E170&amp;"-"&amp;TEXT(TODAY(),"YY")&amp;"-"&amp;TEXT(A170,"000"),"")))</f>
        <v/>
      </c>
      <c r="C170" s="26"/>
      <c r="D170" s="26"/>
      <c r="E170" s="26"/>
      <c r="F170" s="26"/>
      <c r="G170" s="26"/>
      <c r="H170" s="26"/>
      <c r="I170" s="26"/>
      <c r="J170" s="27" t="str">
        <f aca="false">IF(F170="","",IF(I170="","",F170*I170))</f>
        <v/>
      </c>
      <c r="K170" s="26"/>
      <c r="L170" s="26"/>
      <c r="M170" s="27" t="str">
        <f aca="false">IF(OR(J170="",L170="",K170=""),"",IFERROR((J170-K170-IF(O170="Adjust in Plan",N170,0))/L170,"-"))</f>
        <v/>
      </c>
      <c r="N170" s="28"/>
      <c r="O170" s="28"/>
      <c r="P170" s="27" t="n">
        <f aca="false">IFERROR(SUMIF(INSTALMENTS!$C:$C,B170,INSTALMENTS!$I:$I),0)</f>
        <v>0</v>
      </c>
      <c r="Q170" s="27" t="str">
        <f aca="false">IF(J170="","",J170-P170)</f>
        <v/>
      </c>
      <c r="R170" s="25" t="str">
        <f aca="true">IF(J170="","",IF(Q170&lt;=0,"✅ Completed",IF(IFERROR(SUMPRODUCT((INSTALMENTS!$C:$C=B170)*(INSTALMENTS!$F:$F&lt;TODAY())*(INSTALMENTS!$I:$I&lt;INSTALMENTS!$H:$H)),0)&gt;0,"🔴 Overdue","🟢 Active")))</f>
        <v/>
      </c>
      <c r="S170" s="26"/>
      <c r="T170" s="26"/>
      <c r="U170" s="26"/>
      <c r="V170" s="26"/>
      <c r="W170" s="26"/>
      <c r="X170" s="29"/>
      <c r="Y170" s="29"/>
      <c r="Z170" s="29"/>
      <c r="AA170" s="29"/>
      <c r="AB170" s="29"/>
      <c r="AC170" s="29"/>
      <c r="AD170" s="30"/>
      <c r="AE170" s="30"/>
      <c r="AF170" s="30"/>
      <c r="AG170" s="30"/>
      <c r="AH170" s="31"/>
      <c r="AI170" s="31"/>
      <c r="AJ170" s="31"/>
      <c r="AK170" s="31"/>
      <c r="AL170" s="31"/>
      <c r="AM170" s="31"/>
      <c r="AN170" s="26"/>
      <c r="AO170" s="26"/>
      <c r="AP170" s="26"/>
      <c r="AQ170" s="26"/>
      <c r="AR170" s="26"/>
      <c r="AS170" s="26"/>
      <c r="AT170" s="26"/>
      <c r="AU170" s="26"/>
      <c r="AV170" s="32"/>
    </row>
    <row r="171" customFormat="false" ht="15" hidden="false" customHeight="false" outlineLevel="0" collapsed="false">
      <c r="A171" s="24" t="n">
        <v>168</v>
      </c>
      <c r="B171" s="25" t="str">
        <f aca="true">IF(C171="","",IF(E171="","",IFERROR("BTM-"&amp;LEFT(C171,3)&amp;"-"&amp;E171&amp;"-"&amp;TEXT(TODAY(),"YY")&amp;"-"&amp;TEXT(A171,"000"),"")))</f>
        <v/>
      </c>
      <c r="C171" s="26"/>
      <c r="D171" s="26"/>
      <c r="E171" s="26"/>
      <c r="F171" s="26"/>
      <c r="G171" s="26"/>
      <c r="H171" s="26"/>
      <c r="I171" s="26"/>
      <c r="J171" s="27" t="str">
        <f aca="false">IF(F171="","",IF(I171="","",F171*I171))</f>
        <v/>
      </c>
      <c r="K171" s="26"/>
      <c r="L171" s="26"/>
      <c r="M171" s="27" t="str">
        <f aca="false">IF(OR(J171="",L171="",K171=""),"",IFERROR((J171-K171-IF(O171="Adjust in Plan",N171,0))/L171,"-"))</f>
        <v/>
      </c>
      <c r="N171" s="28"/>
      <c r="O171" s="28"/>
      <c r="P171" s="27" t="n">
        <f aca="false">IFERROR(SUMIF(INSTALMENTS!$C:$C,B171,INSTALMENTS!$I:$I),0)</f>
        <v>0</v>
      </c>
      <c r="Q171" s="27" t="str">
        <f aca="false">IF(J171="","",J171-P171)</f>
        <v/>
      </c>
      <c r="R171" s="25" t="str">
        <f aca="true">IF(J171="","",IF(Q171&lt;=0,"✅ Completed",IF(IFERROR(SUMPRODUCT((INSTALMENTS!$C:$C=B171)*(INSTALMENTS!$F:$F&lt;TODAY())*(INSTALMENTS!$I:$I&lt;INSTALMENTS!$H:$H)),0)&gt;0,"🔴 Overdue","🟢 Active")))</f>
        <v/>
      </c>
      <c r="S171" s="26"/>
      <c r="T171" s="26"/>
      <c r="U171" s="26"/>
      <c r="V171" s="26"/>
      <c r="W171" s="26"/>
      <c r="X171" s="29"/>
      <c r="Y171" s="29"/>
      <c r="Z171" s="29"/>
      <c r="AA171" s="29"/>
      <c r="AB171" s="29"/>
      <c r="AC171" s="29"/>
      <c r="AD171" s="30"/>
      <c r="AE171" s="30"/>
      <c r="AF171" s="30"/>
      <c r="AG171" s="30"/>
      <c r="AH171" s="31"/>
      <c r="AI171" s="31"/>
      <c r="AJ171" s="31"/>
      <c r="AK171" s="31"/>
      <c r="AL171" s="31"/>
      <c r="AM171" s="31"/>
      <c r="AN171" s="26"/>
      <c r="AO171" s="26"/>
      <c r="AP171" s="26"/>
      <c r="AQ171" s="26"/>
      <c r="AR171" s="26"/>
      <c r="AS171" s="26"/>
      <c r="AT171" s="26"/>
      <c r="AU171" s="26"/>
      <c r="AV171" s="32"/>
    </row>
    <row r="172" customFormat="false" ht="15" hidden="false" customHeight="false" outlineLevel="0" collapsed="false">
      <c r="A172" s="24" t="n">
        <v>169</v>
      </c>
      <c r="B172" s="25" t="str">
        <f aca="true">IF(C172="","",IF(E172="","",IFERROR("BTM-"&amp;LEFT(C172,3)&amp;"-"&amp;E172&amp;"-"&amp;TEXT(TODAY(),"YY")&amp;"-"&amp;TEXT(A172,"000"),"")))</f>
        <v/>
      </c>
      <c r="C172" s="26"/>
      <c r="D172" s="26"/>
      <c r="E172" s="26"/>
      <c r="F172" s="26"/>
      <c r="G172" s="26"/>
      <c r="H172" s="26"/>
      <c r="I172" s="26"/>
      <c r="J172" s="27" t="str">
        <f aca="false">IF(F172="","",IF(I172="","",F172*I172))</f>
        <v/>
      </c>
      <c r="K172" s="26"/>
      <c r="L172" s="26"/>
      <c r="M172" s="27" t="str">
        <f aca="false">IF(OR(J172="",L172="",K172=""),"",IFERROR((J172-K172-IF(O172="Adjust in Plan",N172,0))/L172,"-"))</f>
        <v/>
      </c>
      <c r="N172" s="28"/>
      <c r="O172" s="28"/>
      <c r="P172" s="27" t="n">
        <f aca="false">IFERROR(SUMIF(INSTALMENTS!$C:$C,B172,INSTALMENTS!$I:$I),0)</f>
        <v>0</v>
      </c>
      <c r="Q172" s="27" t="str">
        <f aca="false">IF(J172="","",J172-P172)</f>
        <v/>
      </c>
      <c r="R172" s="25" t="str">
        <f aca="true">IF(J172="","",IF(Q172&lt;=0,"✅ Completed",IF(IFERROR(SUMPRODUCT((INSTALMENTS!$C:$C=B172)*(INSTALMENTS!$F:$F&lt;TODAY())*(INSTALMENTS!$I:$I&lt;INSTALMENTS!$H:$H)),0)&gt;0,"🔴 Overdue","🟢 Active")))</f>
        <v/>
      </c>
      <c r="S172" s="26"/>
      <c r="T172" s="26"/>
      <c r="U172" s="26"/>
      <c r="V172" s="26"/>
      <c r="W172" s="26"/>
      <c r="X172" s="29"/>
      <c r="Y172" s="29"/>
      <c r="Z172" s="29"/>
      <c r="AA172" s="29"/>
      <c r="AB172" s="29"/>
      <c r="AC172" s="29"/>
      <c r="AD172" s="30"/>
      <c r="AE172" s="30"/>
      <c r="AF172" s="30"/>
      <c r="AG172" s="30"/>
      <c r="AH172" s="31"/>
      <c r="AI172" s="31"/>
      <c r="AJ172" s="31"/>
      <c r="AK172" s="31"/>
      <c r="AL172" s="31"/>
      <c r="AM172" s="31"/>
      <c r="AN172" s="26"/>
      <c r="AO172" s="26"/>
      <c r="AP172" s="26"/>
      <c r="AQ172" s="26"/>
      <c r="AR172" s="26"/>
      <c r="AS172" s="26"/>
      <c r="AT172" s="26"/>
      <c r="AU172" s="26"/>
      <c r="AV172" s="32"/>
    </row>
    <row r="173" customFormat="false" ht="15" hidden="false" customHeight="false" outlineLevel="0" collapsed="false">
      <c r="A173" s="24" t="n">
        <v>170</v>
      </c>
      <c r="B173" s="25" t="str">
        <f aca="true">IF(C173="","",IF(E173="","",IFERROR("BTM-"&amp;LEFT(C173,3)&amp;"-"&amp;E173&amp;"-"&amp;TEXT(TODAY(),"YY")&amp;"-"&amp;TEXT(A173,"000"),"")))</f>
        <v/>
      </c>
      <c r="C173" s="26"/>
      <c r="D173" s="26"/>
      <c r="E173" s="26"/>
      <c r="F173" s="26"/>
      <c r="G173" s="26"/>
      <c r="H173" s="26"/>
      <c r="I173" s="26"/>
      <c r="J173" s="27" t="str">
        <f aca="false">IF(F173="","",IF(I173="","",F173*I173))</f>
        <v/>
      </c>
      <c r="K173" s="26"/>
      <c r="L173" s="26"/>
      <c r="M173" s="27" t="str">
        <f aca="false">IF(OR(J173="",L173="",K173=""),"",IFERROR((J173-K173-IF(O173="Adjust in Plan",N173,0))/L173,"-"))</f>
        <v/>
      </c>
      <c r="N173" s="28"/>
      <c r="O173" s="28"/>
      <c r="P173" s="27" t="n">
        <f aca="false">IFERROR(SUMIF(INSTALMENTS!$C:$C,B173,INSTALMENTS!$I:$I),0)</f>
        <v>0</v>
      </c>
      <c r="Q173" s="27" t="str">
        <f aca="false">IF(J173="","",J173-P173)</f>
        <v/>
      </c>
      <c r="R173" s="25" t="str">
        <f aca="true">IF(J173="","",IF(Q173&lt;=0,"✅ Completed",IF(IFERROR(SUMPRODUCT((INSTALMENTS!$C:$C=B173)*(INSTALMENTS!$F:$F&lt;TODAY())*(INSTALMENTS!$I:$I&lt;INSTALMENTS!$H:$H)),0)&gt;0,"🔴 Overdue","🟢 Active")))</f>
        <v/>
      </c>
      <c r="S173" s="26"/>
      <c r="T173" s="26"/>
      <c r="U173" s="26"/>
      <c r="V173" s="26"/>
      <c r="W173" s="26"/>
      <c r="X173" s="29"/>
      <c r="Y173" s="29"/>
      <c r="Z173" s="29"/>
      <c r="AA173" s="29"/>
      <c r="AB173" s="29"/>
      <c r="AC173" s="29"/>
      <c r="AD173" s="30"/>
      <c r="AE173" s="30"/>
      <c r="AF173" s="30"/>
      <c r="AG173" s="30"/>
      <c r="AH173" s="31"/>
      <c r="AI173" s="31"/>
      <c r="AJ173" s="31"/>
      <c r="AK173" s="31"/>
      <c r="AL173" s="31"/>
      <c r="AM173" s="31"/>
      <c r="AN173" s="26"/>
      <c r="AO173" s="26"/>
      <c r="AP173" s="26"/>
      <c r="AQ173" s="26"/>
      <c r="AR173" s="26"/>
      <c r="AS173" s="26"/>
      <c r="AT173" s="26"/>
      <c r="AU173" s="26"/>
      <c r="AV173" s="32"/>
    </row>
    <row r="174" customFormat="false" ht="15" hidden="false" customHeight="false" outlineLevel="0" collapsed="false">
      <c r="A174" s="24" t="n">
        <v>171</v>
      </c>
      <c r="B174" s="25" t="str">
        <f aca="true">IF(C174="","",IF(E174="","",IFERROR("BTM-"&amp;LEFT(C174,3)&amp;"-"&amp;E174&amp;"-"&amp;TEXT(TODAY(),"YY")&amp;"-"&amp;TEXT(A174,"000"),"")))</f>
        <v/>
      </c>
      <c r="C174" s="26"/>
      <c r="D174" s="26"/>
      <c r="E174" s="26"/>
      <c r="F174" s="26"/>
      <c r="G174" s="26"/>
      <c r="H174" s="26"/>
      <c r="I174" s="26"/>
      <c r="J174" s="27" t="str">
        <f aca="false">IF(F174="","",IF(I174="","",F174*I174))</f>
        <v/>
      </c>
      <c r="K174" s="26"/>
      <c r="L174" s="26"/>
      <c r="M174" s="27" t="str">
        <f aca="false">IF(OR(J174="",L174="",K174=""),"",IFERROR((J174-K174-IF(O174="Adjust in Plan",N174,0))/L174,"-"))</f>
        <v/>
      </c>
      <c r="N174" s="28"/>
      <c r="O174" s="28"/>
      <c r="P174" s="27" t="n">
        <f aca="false">IFERROR(SUMIF(INSTALMENTS!$C:$C,B174,INSTALMENTS!$I:$I),0)</f>
        <v>0</v>
      </c>
      <c r="Q174" s="27" t="str">
        <f aca="false">IF(J174="","",J174-P174)</f>
        <v/>
      </c>
      <c r="R174" s="25" t="str">
        <f aca="true">IF(J174="","",IF(Q174&lt;=0,"✅ Completed",IF(IFERROR(SUMPRODUCT((INSTALMENTS!$C:$C=B174)*(INSTALMENTS!$F:$F&lt;TODAY())*(INSTALMENTS!$I:$I&lt;INSTALMENTS!$H:$H)),0)&gt;0,"🔴 Overdue","🟢 Active")))</f>
        <v/>
      </c>
      <c r="S174" s="26"/>
      <c r="T174" s="26"/>
      <c r="U174" s="26"/>
      <c r="V174" s="26"/>
      <c r="W174" s="26"/>
      <c r="X174" s="29"/>
      <c r="Y174" s="29"/>
      <c r="Z174" s="29"/>
      <c r="AA174" s="29"/>
      <c r="AB174" s="29"/>
      <c r="AC174" s="29"/>
      <c r="AD174" s="30"/>
      <c r="AE174" s="30"/>
      <c r="AF174" s="30"/>
      <c r="AG174" s="30"/>
      <c r="AH174" s="31"/>
      <c r="AI174" s="31"/>
      <c r="AJ174" s="31"/>
      <c r="AK174" s="31"/>
      <c r="AL174" s="31"/>
      <c r="AM174" s="31"/>
      <c r="AN174" s="26"/>
      <c r="AO174" s="26"/>
      <c r="AP174" s="26"/>
      <c r="AQ174" s="26"/>
      <c r="AR174" s="26"/>
      <c r="AS174" s="26"/>
      <c r="AT174" s="26"/>
      <c r="AU174" s="26"/>
      <c r="AV174" s="32"/>
    </row>
    <row r="175" customFormat="false" ht="15" hidden="false" customHeight="false" outlineLevel="0" collapsed="false">
      <c r="A175" s="24" t="n">
        <v>172</v>
      </c>
      <c r="B175" s="25" t="str">
        <f aca="true">IF(C175="","",IF(E175="","",IFERROR("BTM-"&amp;LEFT(C175,3)&amp;"-"&amp;E175&amp;"-"&amp;TEXT(TODAY(),"YY")&amp;"-"&amp;TEXT(A175,"000"),"")))</f>
        <v/>
      </c>
      <c r="C175" s="26"/>
      <c r="D175" s="26"/>
      <c r="E175" s="26"/>
      <c r="F175" s="26"/>
      <c r="G175" s="26"/>
      <c r="H175" s="26"/>
      <c r="I175" s="26"/>
      <c r="J175" s="27" t="str">
        <f aca="false">IF(F175="","",IF(I175="","",F175*I175))</f>
        <v/>
      </c>
      <c r="K175" s="26"/>
      <c r="L175" s="26"/>
      <c r="M175" s="27" t="str">
        <f aca="false">IF(OR(J175="",L175="",K175=""),"",IFERROR((J175-K175-IF(O175="Adjust in Plan",N175,0))/L175,"-"))</f>
        <v/>
      </c>
      <c r="N175" s="28"/>
      <c r="O175" s="28"/>
      <c r="P175" s="27" t="n">
        <f aca="false">IFERROR(SUMIF(INSTALMENTS!$C:$C,B175,INSTALMENTS!$I:$I),0)</f>
        <v>0</v>
      </c>
      <c r="Q175" s="27" t="str">
        <f aca="false">IF(J175="","",J175-P175)</f>
        <v/>
      </c>
      <c r="R175" s="25" t="str">
        <f aca="true">IF(J175="","",IF(Q175&lt;=0,"✅ Completed",IF(IFERROR(SUMPRODUCT((INSTALMENTS!$C:$C=B175)*(INSTALMENTS!$F:$F&lt;TODAY())*(INSTALMENTS!$I:$I&lt;INSTALMENTS!$H:$H)),0)&gt;0,"🔴 Overdue","🟢 Active")))</f>
        <v/>
      </c>
      <c r="S175" s="26"/>
      <c r="T175" s="26"/>
      <c r="U175" s="26"/>
      <c r="V175" s="26"/>
      <c r="W175" s="26"/>
      <c r="X175" s="29"/>
      <c r="Y175" s="29"/>
      <c r="Z175" s="29"/>
      <c r="AA175" s="29"/>
      <c r="AB175" s="29"/>
      <c r="AC175" s="29"/>
      <c r="AD175" s="30"/>
      <c r="AE175" s="30"/>
      <c r="AF175" s="30"/>
      <c r="AG175" s="30"/>
      <c r="AH175" s="31"/>
      <c r="AI175" s="31"/>
      <c r="AJ175" s="31"/>
      <c r="AK175" s="31"/>
      <c r="AL175" s="31"/>
      <c r="AM175" s="31"/>
      <c r="AN175" s="26"/>
      <c r="AO175" s="26"/>
      <c r="AP175" s="26"/>
      <c r="AQ175" s="26"/>
      <c r="AR175" s="26"/>
      <c r="AS175" s="26"/>
      <c r="AT175" s="26"/>
      <c r="AU175" s="26"/>
      <c r="AV175" s="32"/>
    </row>
    <row r="176" customFormat="false" ht="15" hidden="false" customHeight="false" outlineLevel="0" collapsed="false">
      <c r="A176" s="24" t="n">
        <v>173</v>
      </c>
      <c r="B176" s="25" t="str">
        <f aca="true">IF(C176="","",IF(E176="","",IFERROR("BTM-"&amp;LEFT(C176,3)&amp;"-"&amp;E176&amp;"-"&amp;TEXT(TODAY(),"YY")&amp;"-"&amp;TEXT(A176,"000"),"")))</f>
        <v/>
      </c>
      <c r="C176" s="26"/>
      <c r="D176" s="26"/>
      <c r="E176" s="26"/>
      <c r="F176" s="26"/>
      <c r="G176" s="26"/>
      <c r="H176" s="26"/>
      <c r="I176" s="26"/>
      <c r="J176" s="27" t="str">
        <f aca="false">IF(F176="","",IF(I176="","",F176*I176))</f>
        <v/>
      </c>
      <c r="K176" s="26"/>
      <c r="L176" s="26"/>
      <c r="M176" s="27" t="str">
        <f aca="false">IF(OR(J176="",L176="",K176=""),"",IFERROR((J176-K176-IF(O176="Adjust in Plan",N176,0))/L176,"-"))</f>
        <v/>
      </c>
      <c r="N176" s="28"/>
      <c r="O176" s="28"/>
      <c r="P176" s="27" t="n">
        <f aca="false">IFERROR(SUMIF(INSTALMENTS!$C:$C,B176,INSTALMENTS!$I:$I),0)</f>
        <v>0</v>
      </c>
      <c r="Q176" s="27" t="str">
        <f aca="false">IF(J176="","",J176-P176)</f>
        <v/>
      </c>
      <c r="R176" s="25" t="str">
        <f aca="true">IF(J176="","",IF(Q176&lt;=0,"✅ Completed",IF(IFERROR(SUMPRODUCT((INSTALMENTS!$C:$C=B176)*(INSTALMENTS!$F:$F&lt;TODAY())*(INSTALMENTS!$I:$I&lt;INSTALMENTS!$H:$H)),0)&gt;0,"🔴 Overdue","🟢 Active")))</f>
        <v/>
      </c>
      <c r="S176" s="26"/>
      <c r="T176" s="26"/>
      <c r="U176" s="26"/>
      <c r="V176" s="26"/>
      <c r="W176" s="26"/>
      <c r="X176" s="29"/>
      <c r="Y176" s="29"/>
      <c r="Z176" s="29"/>
      <c r="AA176" s="29"/>
      <c r="AB176" s="29"/>
      <c r="AC176" s="29"/>
      <c r="AD176" s="30"/>
      <c r="AE176" s="30"/>
      <c r="AF176" s="30"/>
      <c r="AG176" s="30"/>
      <c r="AH176" s="31"/>
      <c r="AI176" s="31"/>
      <c r="AJ176" s="31"/>
      <c r="AK176" s="31"/>
      <c r="AL176" s="31"/>
      <c r="AM176" s="31"/>
      <c r="AN176" s="26"/>
      <c r="AO176" s="26"/>
      <c r="AP176" s="26"/>
      <c r="AQ176" s="26"/>
      <c r="AR176" s="26"/>
      <c r="AS176" s="26"/>
      <c r="AT176" s="26"/>
      <c r="AU176" s="26"/>
      <c r="AV176" s="32"/>
    </row>
    <row r="177" customFormat="false" ht="15" hidden="false" customHeight="false" outlineLevel="0" collapsed="false">
      <c r="A177" s="24" t="n">
        <v>174</v>
      </c>
      <c r="B177" s="25" t="str">
        <f aca="true">IF(C177="","",IF(E177="","",IFERROR("BTM-"&amp;LEFT(C177,3)&amp;"-"&amp;E177&amp;"-"&amp;TEXT(TODAY(),"YY")&amp;"-"&amp;TEXT(A177,"000"),"")))</f>
        <v/>
      </c>
      <c r="C177" s="26"/>
      <c r="D177" s="26"/>
      <c r="E177" s="26"/>
      <c r="F177" s="26"/>
      <c r="G177" s="26"/>
      <c r="H177" s="26"/>
      <c r="I177" s="26"/>
      <c r="J177" s="27" t="str">
        <f aca="false">IF(F177="","",IF(I177="","",F177*I177))</f>
        <v/>
      </c>
      <c r="K177" s="26"/>
      <c r="L177" s="26"/>
      <c r="M177" s="27" t="str">
        <f aca="false">IF(OR(J177="",L177="",K177=""),"",IFERROR((J177-K177-IF(O177="Adjust in Plan",N177,0))/L177,"-"))</f>
        <v/>
      </c>
      <c r="N177" s="28"/>
      <c r="O177" s="28"/>
      <c r="P177" s="27" t="n">
        <f aca="false">IFERROR(SUMIF(INSTALMENTS!$C:$C,B177,INSTALMENTS!$I:$I),0)</f>
        <v>0</v>
      </c>
      <c r="Q177" s="27" t="str">
        <f aca="false">IF(J177="","",J177-P177)</f>
        <v/>
      </c>
      <c r="R177" s="25" t="str">
        <f aca="true">IF(J177="","",IF(Q177&lt;=0,"✅ Completed",IF(IFERROR(SUMPRODUCT((INSTALMENTS!$C:$C=B177)*(INSTALMENTS!$F:$F&lt;TODAY())*(INSTALMENTS!$I:$I&lt;INSTALMENTS!$H:$H)),0)&gt;0,"🔴 Overdue","🟢 Active")))</f>
        <v/>
      </c>
      <c r="S177" s="26"/>
      <c r="T177" s="26"/>
      <c r="U177" s="26"/>
      <c r="V177" s="26"/>
      <c r="W177" s="26"/>
      <c r="X177" s="29"/>
      <c r="Y177" s="29"/>
      <c r="Z177" s="29"/>
      <c r="AA177" s="29"/>
      <c r="AB177" s="29"/>
      <c r="AC177" s="29"/>
      <c r="AD177" s="30"/>
      <c r="AE177" s="30"/>
      <c r="AF177" s="30"/>
      <c r="AG177" s="30"/>
      <c r="AH177" s="31"/>
      <c r="AI177" s="31"/>
      <c r="AJ177" s="31"/>
      <c r="AK177" s="31"/>
      <c r="AL177" s="31"/>
      <c r="AM177" s="31"/>
      <c r="AN177" s="26"/>
      <c r="AO177" s="26"/>
      <c r="AP177" s="26"/>
      <c r="AQ177" s="26"/>
      <c r="AR177" s="26"/>
      <c r="AS177" s="26"/>
      <c r="AT177" s="26"/>
      <c r="AU177" s="26"/>
      <c r="AV177" s="32"/>
    </row>
    <row r="178" customFormat="false" ht="15" hidden="false" customHeight="false" outlineLevel="0" collapsed="false">
      <c r="A178" s="24" t="n">
        <v>175</v>
      </c>
      <c r="B178" s="25" t="str">
        <f aca="true">IF(C178="","",IF(E178="","",IFERROR("BTM-"&amp;LEFT(C178,3)&amp;"-"&amp;E178&amp;"-"&amp;TEXT(TODAY(),"YY")&amp;"-"&amp;TEXT(A178,"000"),"")))</f>
        <v/>
      </c>
      <c r="C178" s="26"/>
      <c r="D178" s="26"/>
      <c r="E178" s="26"/>
      <c r="F178" s="26"/>
      <c r="G178" s="26"/>
      <c r="H178" s="26"/>
      <c r="I178" s="26"/>
      <c r="J178" s="27" t="str">
        <f aca="false">IF(F178="","",IF(I178="","",F178*I178))</f>
        <v/>
      </c>
      <c r="K178" s="26"/>
      <c r="L178" s="26"/>
      <c r="M178" s="27" t="str">
        <f aca="false">IF(OR(J178="",L178="",K178=""),"",IFERROR((J178-K178-IF(O178="Adjust in Plan",N178,0))/L178,"-"))</f>
        <v/>
      </c>
      <c r="N178" s="28"/>
      <c r="O178" s="28"/>
      <c r="P178" s="27" t="n">
        <f aca="false">IFERROR(SUMIF(INSTALMENTS!$C:$C,B178,INSTALMENTS!$I:$I),0)</f>
        <v>0</v>
      </c>
      <c r="Q178" s="27" t="str">
        <f aca="false">IF(J178="","",J178-P178)</f>
        <v/>
      </c>
      <c r="R178" s="25" t="str">
        <f aca="true">IF(J178="","",IF(Q178&lt;=0,"✅ Completed",IF(IFERROR(SUMPRODUCT((INSTALMENTS!$C:$C=B178)*(INSTALMENTS!$F:$F&lt;TODAY())*(INSTALMENTS!$I:$I&lt;INSTALMENTS!$H:$H)),0)&gt;0,"🔴 Overdue","🟢 Active")))</f>
        <v/>
      </c>
      <c r="S178" s="26"/>
      <c r="T178" s="26"/>
      <c r="U178" s="26"/>
      <c r="V178" s="26"/>
      <c r="W178" s="26"/>
      <c r="X178" s="29"/>
      <c r="Y178" s="29"/>
      <c r="Z178" s="29"/>
      <c r="AA178" s="29"/>
      <c r="AB178" s="29"/>
      <c r="AC178" s="29"/>
      <c r="AD178" s="30"/>
      <c r="AE178" s="30"/>
      <c r="AF178" s="30"/>
      <c r="AG178" s="30"/>
      <c r="AH178" s="31"/>
      <c r="AI178" s="31"/>
      <c r="AJ178" s="31"/>
      <c r="AK178" s="31"/>
      <c r="AL178" s="31"/>
      <c r="AM178" s="31"/>
      <c r="AN178" s="26"/>
      <c r="AO178" s="26"/>
      <c r="AP178" s="26"/>
      <c r="AQ178" s="26"/>
      <c r="AR178" s="26"/>
      <c r="AS178" s="26"/>
      <c r="AT178" s="26"/>
      <c r="AU178" s="26"/>
      <c r="AV178" s="32"/>
    </row>
    <row r="179" customFormat="false" ht="15" hidden="false" customHeight="false" outlineLevel="0" collapsed="false">
      <c r="A179" s="24" t="n">
        <v>176</v>
      </c>
      <c r="B179" s="25" t="str">
        <f aca="true">IF(C179="","",IF(E179="","",IFERROR("BTM-"&amp;LEFT(C179,3)&amp;"-"&amp;E179&amp;"-"&amp;TEXT(TODAY(),"YY")&amp;"-"&amp;TEXT(A179,"000"),"")))</f>
        <v/>
      </c>
      <c r="C179" s="26"/>
      <c r="D179" s="26"/>
      <c r="E179" s="26"/>
      <c r="F179" s="26"/>
      <c r="G179" s="26"/>
      <c r="H179" s="26"/>
      <c r="I179" s="26"/>
      <c r="J179" s="27" t="str">
        <f aca="false">IF(F179="","",IF(I179="","",F179*I179))</f>
        <v/>
      </c>
      <c r="K179" s="26"/>
      <c r="L179" s="26"/>
      <c r="M179" s="27" t="str">
        <f aca="false">IF(OR(J179="",L179="",K179=""),"",IFERROR((J179-K179-IF(O179="Adjust in Plan",N179,0))/L179,"-"))</f>
        <v/>
      </c>
      <c r="N179" s="28"/>
      <c r="O179" s="28"/>
      <c r="P179" s="27" t="n">
        <f aca="false">IFERROR(SUMIF(INSTALMENTS!$C:$C,B179,INSTALMENTS!$I:$I),0)</f>
        <v>0</v>
      </c>
      <c r="Q179" s="27" t="str">
        <f aca="false">IF(J179="","",J179-P179)</f>
        <v/>
      </c>
      <c r="R179" s="25" t="str">
        <f aca="true">IF(J179="","",IF(Q179&lt;=0,"✅ Completed",IF(IFERROR(SUMPRODUCT((INSTALMENTS!$C:$C=B179)*(INSTALMENTS!$F:$F&lt;TODAY())*(INSTALMENTS!$I:$I&lt;INSTALMENTS!$H:$H)),0)&gt;0,"🔴 Overdue","🟢 Active")))</f>
        <v/>
      </c>
      <c r="S179" s="26"/>
      <c r="T179" s="26"/>
      <c r="U179" s="26"/>
      <c r="V179" s="26"/>
      <c r="W179" s="26"/>
      <c r="X179" s="29"/>
      <c r="Y179" s="29"/>
      <c r="Z179" s="29"/>
      <c r="AA179" s="29"/>
      <c r="AB179" s="29"/>
      <c r="AC179" s="29"/>
      <c r="AD179" s="30"/>
      <c r="AE179" s="30"/>
      <c r="AF179" s="30"/>
      <c r="AG179" s="30"/>
      <c r="AH179" s="31"/>
      <c r="AI179" s="31"/>
      <c r="AJ179" s="31"/>
      <c r="AK179" s="31"/>
      <c r="AL179" s="31"/>
      <c r="AM179" s="31"/>
      <c r="AN179" s="26"/>
      <c r="AO179" s="26"/>
      <c r="AP179" s="26"/>
      <c r="AQ179" s="26"/>
      <c r="AR179" s="26"/>
      <c r="AS179" s="26"/>
      <c r="AT179" s="26"/>
      <c r="AU179" s="26"/>
      <c r="AV179" s="32"/>
    </row>
    <row r="180" customFormat="false" ht="15" hidden="false" customHeight="false" outlineLevel="0" collapsed="false">
      <c r="A180" s="24" t="n">
        <v>177</v>
      </c>
      <c r="B180" s="25" t="str">
        <f aca="true">IF(C180="","",IF(E180="","",IFERROR("BTM-"&amp;LEFT(C180,3)&amp;"-"&amp;E180&amp;"-"&amp;TEXT(TODAY(),"YY")&amp;"-"&amp;TEXT(A180,"000"),"")))</f>
        <v/>
      </c>
      <c r="C180" s="26"/>
      <c r="D180" s="26"/>
      <c r="E180" s="26"/>
      <c r="F180" s="26"/>
      <c r="G180" s="26"/>
      <c r="H180" s="26"/>
      <c r="I180" s="26"/>
      <c r="J180" s="27" t="str">
        <f aca="false">IF(F180="","",IF(I180="","",F180*I180))</f>
        <v/>
      </c>
      <c r="K180" s="26"/>
      <c r="L180" s="26"/>
      <c r="M180" s="27" t="str">
        <f aca="false">IF(OR(J180="",L180="",K180=""),"",IFERROR((J180-K180-IF(O180="Adjust in Plan",N180,0))/L180,"-"))</f>
        <v/>
      </c>
      <c r="N180" s="28"/>
      <c r="O180" s="28"/>
      <c r="P180" s="27" t="n">
        <f aca="false">IFERROR(SUMIF(INSTALMENTS!$C:$C,B180,INSTALMENTS!$I:$I),0)</f>
        <v>0</v>
      </c>
      <c r="Q180" s="27" t="str">
        <f aca="false">IF(J180="","",J180-P180)</f>
        <v/>
      </c>
      <c r="R180" s="25" t="str">
        <f aca="true">IF(J180="","",IF(Q180&lt;=0,"✅ Completed",IF(IFERROR(SUMPRODUCT((INSTALMENTS!$C:$C=B180)*(INSTALMENTS!$F:$F&lt;TODAY())*(INSTALMENTS!$I:$I&lt;INSTALMENTS!$H:$H)),0)&gt;0,"🔴 Overdue","🟢 Active")))</f>
        <v/>
      </c>
      <c r="S180" s="26"/>
      <c r="T180" s="26"/>
      <c r="U180" s="26"/>
      <c r="V180" s="26"/>
      <c r="W180" s="26"/>
      <c r="X180" s="29"/>
      <c r="Y180" s="29"/>
      <c r="Z180" s="29"/>
      <c r="AA180" s="29"/>
      <c r="AB180" s="29"/>
      <c r="AC180" s="29"/>
      <c r="AD180" s="30"/>
      <c r="AE180" s="30"/>
      <c r="AF180" s="30"/>
      <c r="AG180" s="30"/>
      <c r="AH180" s="31"/>
      <c r="AI180" s="31"/>
      <c r="AJ180" s="31"/>
      <c r="AK180" s="31"/>
      <c r="AL180" s="31"/>
      <c r="AM180" s="31"/>
      <c r="AN180" s="26"/>
      <c r="AO180" s="26"/>
      <c r="AP180" s="26"/>
      <c r="AQ180" s="26"/>
      <c r="AR180" s="26"/>
      <c r="AS180" s="26"/>
      <c r="AT180" s="26"/>
      <c r="AU180" s="26"/>
      <c r="AV180" s="32"/>
    </row>
    <row r="181" customFormat="false" ht="15" hidden="false" customHeight="false" outlineLevel="0" collapsed="false">
      <c r="A181" s="24" t="n">
        <v>178</v>
      </c>
      <c r="B181" s="25" t="str">
        <f aca="true">IF(C181="","",IF(E181="","",IFERROR("BTM-"&amp;LEFT(C181,3)&amp;"-"&amp;E181&amp;"-"&amp;TEXT(TODAY(),"YY")&amp;"-"&amp;TEXT(A181,"000"),"")))</f>
        <v/>
      </c>
      <c r="C181" s="26"/>
      <c r="D181" s="26"/>
      <c r="E181" s="26"/>
      <c r="F181" s="26"/>
      <c r="G181" s="26"/>
      <c r="H181" s="26"/>
      <c r="I181" s="26"/>
      <c r="J181" s="27" t="str">
        <f aca="false">IF(F181="","",IF(I181="","",F181*I181))</f>
        <v/>
      </c>
      <c r="K181" s="26"/>
      <c r="L181" s="26"/>
      <c r="M181" s="27" t="str">
        <f aca="false">IF(OR(J181="",L181="",K181=""),"",IFERROR((J181-K181-IF(O181="Adjust in Plan",N181,0))/L181,"-"))</f>
        <v/>
      </c>
      <c r="N181" s="28"/>
      <c r="O181" s="28"/>
      <c r="P181" s="27" t="n">
        <f aca="false">IFERROR(SUMIF(INSTALMENTS!$C:$C,B181,INSTALMENTS!$I:$I),0)</f>
        <v>0</v>
      </c>
      <c r="Q181" s="27" t="str">
        <f aca="false">IF(J181="","",J181-P181)</f>
        <v/>
      </c>
      <c r="R181" s="25" t="str">
        <f aca="true">IF(J181="","",IF(Q181&lt;=0,"✅ Completed",IF(IFERROR(SUMPRODUCT((INSTALMENTS!$C:$C=B181)*(INSTALMENTS!$F:$F&lt;TODAY())*(INSTALMENTS!$I:$I&lt;INSTALMENTS!$H:$H)),0)&gt;0,"🔴 Overdue","🟢 Active")))</f>
        <v/>
      </c>
      <c r="S181" s="26"/>
      <c r="T181" s="26"/>
      <c r="U181" s="26"/>
      <c r="V181" s="26"/>
      <c r="W181" s="26"/>
      <c r="X181" s="29"/>
      <c r="Y181" s="29"/>
      <c r="Z181" s="29"/>
      <c r="AA181" s="29"/>
      <c r="AB181" s="29"/>
      <c r="AC181" s="29"/>
      <c r="AD181" s="30"/>
      <c r="AE181" s="30"/>
      <c r="AF181" s="30"/>
      <c r="AG181" s="30"/>
      <c r="AH181" s="31"/>
      <c r="AI181" s="31"/>
      <c r="AJ181" s="31"/>
      <c r="AK181" s="31"/>
      <c r="AL181" s="31"/>
      <c r="AM181" s="31"/>
      <c r="AN181" s="26"/>
      <c r="AO181" s="26"/>
      <c r="AP181" s="26"/>
      <c r="AQ181" s="26"/>
      <c r="AR181" s="26"/>
      <c r="AS181" s="26"/>
      <c r="AT181" s="26"/>
      <c r="AU181" s="26"/>
      <c r="AV181" s="32"/>
    </row>
    <row r="182" customFormat="false" ht="15" hidden="false" customHeight="false" outlineLevel="0" collapsed="false">
      <c r="A182" s="24" t="n">
        <v>179</v>
      </c>
      <c r="B182" s="25" t="str">
        <f aca="true">IF(C182="","",IF(E182="","",IFERROR("BTM-"&amp;LEFT(C182,3)&amp;"-"&amp;E182&amp;"-"&amp;TEXT(TODAY(),"YY")&amp;"-"&amp;TEXT(A182,"000"),"")))</f>
        <v/>
      </c>
      <c r="C182" s="26"/>
      <c r="D182" s="26"/>
      <c r="E182" s="26"/>
      <c r="F182" s="26"/>
      <c r="G182" s="26"/>
      <c r="H182" s="26"/>
      <c r="I182" s="26"/>
      <c r="J182" s="27" t="str">
        <f aca="false">IF(F182="","",IF(I182="","",F182*I182))</f>
        <v/>
      </c>
      <c r="K182" s="26"/>
      <c r="L182" s="26"/>
      <c r="M182" s="27" t="str">
        <f aca="false">IF(OR(J182="",L182="",K182=""),"",IFERROR((J182-K182-IF(O182="Adjust in Plan",N182,0))/L182,"-"))</f>
        <v/>
      </c>
      <c r="N182" s="28"/>
      <c r="O182" s="28"/>
      <c r="P182" s="27" t="n">
        <f aca="false">IFERROR(SUMIF(INSTALMENTS!$C:$C,B182,INSTALMENTS!$I:$I),0)</f>
        <v>0</v>
      </c>
      <c r="Q182" s="27" t="str">
        <f aca="false">IF(J182="","",J182-P182)</f>
        <v/>
      </c>
      <c r="R182" s="25" t="str">
        <f aca="true">IF(J182="","",IF(Q182&lt;=0,"✅ Completed",IF(IFERROR(SUMPRODUCT((INSTALMENTS!$C:$C=B182)*(INSTALMENTS!$F:$F&lt;TODAY())*(INSTALMENTS!$I:$I&lt;INSTALMENTS!$H:$H)),0)&gt;0,"🔴 Overdue","🟢 Active")))</f>
        <v/>
      </c>
      <c r="S182" s="26"/>
      <c r="T182" s="26"/>
      <c r="U182" s="26"/>
      <c r="V182" s="26"/>
      <c r="W182" s="26"/>
      <c r="X182" s="29"/>
      <c r="Y182" s="29"/>
      <c r="Z182" s="29"/>
      <c r="AA182" s="29"/>
      <c r="AB182" s="29"/>
      <c r="AC182" s="29"/>
      <c r="AD182" s="30"/>
      <c r="AE182" s="30"/>
      <c r="AF182" s="30"/>
      <c r="AG182" s="30"/>
      <c r="AH182" s="31"/>
      <c r="AI182" s="31"/>
      <c r="AJ182" s="31"/>
      <c r="AK182" s="31"/>
      <c r="AL182" s="31"/>
      <c r="AM182" s="31"/>
      <c r="AN182" s="26"/>
      <c r="AO182" s="26"/>
      <c r="AP182" s="26"/>
      <c r="AQ182" s="26"/>
      <c r="AR182" s="26"/>
      <c r="AS182" s="26"/>
      <c r="AT182" s="26"/>
      <c r="AU182" s="26"/>
      <c r="AV182" s="32"/>
    </row>
    <row r="183" customFormat="false" ht="15" hidden="false" customHeight="false" outlineLevel="0" collapsed="false">
      <c r="A183" s="24" t="n">
        <v>180</v>
      </c>
      <c r="B183" s="25" t="str">
        <f aca="true">IF(C183="","",IF(E183="","",IFERROR("BTM-"&amp;LEFT(C183,3)&amp;"-"&amp;E183&amp;"-"&amp;TEXT(TODAY(),"YY")&amp;"-"&amp;TEXT(A183,"000"),"")))</f>
        <v/>
      </c>
      <c r="C183" s="26"/>
      <c r="D183" s="26"/>
      <c r="E183" s="26"/>
      <c r="F183" s="26"/>
      <c r="G183" s="26"/>
      <c r="H183" s="26"/>
      <c r="I183" s="26"/>
      <c r="J183" s="27" t="str">
        <f aca="false">IF(F183="","",IF(I183="","",F183*I183))</f>
        <v/>
      </c>
      <c r="K183" s="26"/>
      <c r="L183" s="26"/>
      <c r="M183" s="27" t="str">
        <f aca="false">IF(OR(J183="",L183="",K183=""),"",IFERROR((J183-K183-IF(O183="Adjust in Plan",N183,0))/L183,"-"))</f>
        <v/>
      </c>
      <c r="N183" s="28"/>
      <c r="O183" s="28"/>
      <c r="P183" s="27" t="n">
        <f aca="false">IFERROR(SUMIF(INSTALMENTS!$C:$C,B183,INSTALMENTS!$I:$I),0)</f>
        <v>0</v>
      </c>
      <c r="Q183" s="27" t="str">
        <f aca="false">IF(J183="","",J183-P183)</f>
        <v/>
      </c>
      <c r="R183" s="25" t="str">
        <f aca="true">IF(J183="","",IF(Q183&lt;=0,"✅ Completed",IF(IFERROR(SUMPRODUCT((INSTALMENTS!$C:$C=B183)*(INSTALMENTS!$F:$F&lt;TODAY())*(INSTALMENTS!$I:$I&lt;INSTALMENTS!$H:$H)),0)&gt;0,"🔴 Overdue","🟢 Active")))</f>
        <v/>
      </c>
      <c r="S183" s="26"/>
      <c r="T183" s="26"/>
      <c r="U183" s="26"/>
      <c r="V183" s="26"/>
      <c r="W183" s="26"/>
      <c r="X183" s="29"/>
      <c r="Y183" s="29"/>
      <c r="Z183" s="29"/>
      <c r="AA183" s="29"/>
      <c r="AB183" s="29"/>
      <c r="AC183" s="29"/>
      <c r="AD183" s="30"/>
      <c r="AE183" s="30"/>
      <c r="AF183" s="30"/>
      <c r="AG183" s="30"/>
      <c r="AH183" s="31"/>
      <c r="AI183" s="31"/>
      <c r="AJ183" s="31"/>
      <c r="AK183" s="31"/>
      <c r="AL183" s="31"/>
      <c r="AM183" s="31"/>
      <c r="AN183" s="26"/>
      <c r="AO183" s="26"/>
      <c r="AP183" s="26"/>
      <c r="AQ183" s="26"/>
      <c r="AR183" s="26"/>
      <c r="AS183" s="26"/>
      <c r="AT183" s="26"/>
      <c r="AU183" s="26"/>
      <c r="AV183" s="32"/>
    </row>
    <row r="184" customFormat="false" ht="15" hidden="false" customHeight="false" outlineLevel="0" collapsed="false">
      <c r="A184" s="24" t="n">
        <v>181</v>
      </c>
      <c r="B184" s="25" t="str">
        <f aca="true">IF(C184="","",IF(E184="","",IFERROR("BTM-"&amp;LEFT(C184,3)&amp;"-"&amp;E184&amp;"-"&amp;TEXT(TODAY(),"YY")&amp;"-"&amp;TEXT(A184,"000"),"")))</f>
        <v/>
      </c>
      <c r="C184" s="26"/>
      <c r="D184" s="26"/>
      <c r="E184" s="26"/>
      <c r="F184" s="26"/>
      <c r="G184" s="26"/>
      <c r="H184" s="26"/>
      <c r="I184" s="26"/>
      <c r="J184" s="27" t="str">
        <f aca="false">IF(F184="","",IF(I184="","",F184*I184))</f>
        <v/>
      </c>
      <c r="K184" s="26"/>
      <c r="L184" s="26"/>
      <c r="M184" s="27" t="str">
        <f aca="false">IF(OR(J184="",L184="",K184=""),"",IFERROR((J184-K184-IF(O184="Adjust in Plan",N184,0))/L184,"-"))</f>
        <v/>
      </c>
      <c r="N184" s="28"/>
      <c r="O184" s="28"/>
      <c r="P184" s="27" t="n">
        <f aca="false">IFERROR(SUMIF(INSTALMENTS!$C:$C,B184,INSTALMENTS!$I:$I),0)</f>
        <v>0</v>
      </c>
      <c r="Q184" s="27" t="str">
        <f aca="false">IF(J184="","",J184-P184)</f>
        <v/>
      </c>
      <c r="R184" s="25" t="str">
        <f aca="true">IF(J184="","",IF(Q184&lt;=0,"✅ Completed",IF(IFERROR(SUMPRODUCT((INSTALMENTS!$C:$C=B184)*(INSTALMENTS!$F:$F&lt;TODAY())*(INSTALMENTS!$I:$I&lt;INSTALMENTS!$H:$H)),0)&gt;0,"🔴 Overdue","🟢 Active")))</f>
        <v/>
      </c>
      <c r="S184" s="26"/>
      <c r="T184" s="26"/>
      <c r="U184" s="26"/>
      <c r="V184" s="26"/>
      <c r="W184" s="26"/>
      <c r="X184" s="29"/>
      <c r="Y184" s="29"/>
      <c r="Z184" s="29"/>
      <c r="AA184" s="29"/>
      <c r="AB184" s="29"/>
      <c r="AC184" s="29"/>
      <c r="AD184" s="30"/>
      <c r="AE184" s="30"/>
      <c r="AF184" s="30"/>
      <c r="AG184" s="30"/>
      <c r="AH184" s="31"/>
      <c r="AI184" s="31"/>
      <c r="AJ184" s="31"/>
      <c r="AK184" s="31"/>
      <c r="AL184" s="31"/>
      <c r="AM184" s="31"/>
      <c r="AN184" s="26"/>
      <c r="AO184" s="26"/>
      <c r="AP184" s="26"/>
      <c r="AQ184" s="26"/>
      <c r="AR184" s="26"/>
      <c r="AS184" s="26"/>
      <c r="AT184" s="26"/>
      <c r="AU184" s="26"/>
      <c r="AV184" s="32"/>
    </row>
    <row r="185" customFormat="false" ht="15" hidden="false" customHeight="false" outlineLevel="0" collapsed="false">
      <c r="A185" s="24" t="n">
        <v>182</v>
      </c>
      <c r="B185" s="25" t="str">
        <f aca="true">IF(C185="","",IF(E185="","",IFERROR("BTM-"&amp;LEFT(C185,3)&amp;"-"&amp;E185&amp;"-"&amp;TEXT(TODAY(),"YY")&amp;"-"&amp;TEXT(A185,"000"),"")))</f>
        <v/>
      </c>
      <c r="C185" s="26"/>
      <c r="D185" s="26"/>
      <c r="E185" s="26"/>
      <c r="F185" s="26"/>
      <c r="G185" s="26"/>
      <c r="H185" s="26"/>
      <c r="I185" s="26"/>
      <c r="J185" s="27" t="str">
        <f aca="false">IF(F185="","",IF(I185="","",F185*I185))</f>
        <v/>
      </c>
      <c r="K185" s="26"/>
      <c r="L185" s="26"/>
      <c r="M185" s="27" t="str">
        <f aca="false">IF(OR(J185="",L185="",K185=""),"",IFERROR((J185-K185-IF(O185="Adjust in Plan",N185,0))/L185,"-"))</f>
        <v/>
      </c>
      <c r="N185" s="28"/>
      <c r="O185" s="28"/>
      <c r="P185" s="27" t="n">
        <f aca="false">IFERROR(SUMIF(INSTALMENTS!$C:$C,B185,INSTALMENTS!$I:$I),0)</f>
        <v>0</v>
      </c>
      <c r="Q185" s="27" t="str">
        <f aca="false">IF(J185="","",J185-P185)</f>
        <v/>
      </c>
      <c r="R185" s="25" t="str">
        <f aca="true">IF(J185="","",IF(Q185&lt;=0,"✅ Completed",IF(IFERROR(SUMPRODUCT((INSTALMENTS!$C:$C=B185)*(INSTALMENTS!$F:$F&lt;TODAY())*(INSTALMENTS!$I:$I&lt;INSTALMENTS!$H:$H)),0)&gt;0,"🔴 Overdue","🟢 Active")))</f>
        <v/>
      </c>
      <c r="S185" s="26"/>
      <c r="T185" s="26"/>
      <c r="U185" s="26"/>
      <c r="V185" s="26"/>
      <c r="W185" s="26"/>
      <c r="X185" s="29"/>
      <c r="Y185" s="29"/>
      <c r="Z185" s="29"/>
      <c r="AA185" s="29"/>
      <c r="AB185" s="29"/>
      <c r="AC185" s="29"/>
      <c r="AD185" s="30"/>
      <c r="AE185" s="30"/>
      <c r="AF185" s="30"/>
      <c r="AG185" s="30"/>
      <c r="AH185" s="31"/>
      <c r="AI185" s="31"/>
      <c r="AJ185" s="31"/>
      <c r="AK185" s="31"/>
      <c r="AL185" s="31"/>
      <c r="AM185" s="31"/>
      <c r="AN185" s="26"/>
      <c r="AO185" s="26"/>
      <c r="AP185" s="26"/>
      <c r="AQ185" s="26"/>
      <c r="AR185" s="26"/>
      <c r="AS185" s="26"/>
      <c r="AT185" s="26"/>
      <c r="AU185" s="26"/>
      <c r="AV185" s="32"/>
    </row>
    <row r="186" customFormat="false" ht="15" hidden="false" customHeight="false" outlineLevel="0" collapsed="false">
      <c r="A186" s="24" t="n">
        <v>183</v>
      </c>
      <c r="B186" s="25" t="str">
        <f aca="true">IF(C186="","",IF(E186="","",IFERROR("BTM-"&amp;LEFT(C186,3)&amp;"-"&amp;E186&amp;"-"&amp;TEXT(TODAY(),"YY")&amp;"-"&amp;TEXT(A186,"000"),"")))</f>
        <v/>
      </c>
      <c r="C186" s="26"/>
      <c r="D186" s="26"/>
      <c r="E186" s="26"/>
      <c r="F186" s="26"/>
      <c r="G186" s="26"/>
      <c r="H186" s="26"/>
      <c r="I186" s="26"/>
      <c r="J186" s="27" t="str">
        <f aca="false">IF(F186="","",IF(I186="","",F186*I186))</f>
        <v/>
      </c>
      <c r="K186" s="26"/>
      <c r="L186" s="26"/>
      <c r="M186" s="27" t="str">
        <f aca="false">IF(OR(J186="",L186="",K186=""),"",IFERROR((J186-K186-IF(O186="Adjust in Plan",N186,0))/L186,"-"))</f>
        <v/>
      </c>
      <c r="N186" s="28"/>
      <c r="O186" s="28"/>
      <c r="P186" s="27" t="n">
        <f aca="false">IFERROR(SUMIF(INSTALMENTS!$C:$C,B186,INSTALMENTS!$I:$I),0)</f>
        <v>0</v>
      </c>
      <c r="Q186" s="27" t="str">
        <f aca="false">IF(J186="","",J186-P186)</f>
        <v/>
      </c>
      <c r="R186" s="25" t="str">
        <f aca="true">IF(J186="","",IF(Q186&lt;=0,"✅ Completed",IF(IFERROR(SUMPRODUCT((INSTALMENTS!$C:$C=B186)*(INSTALMENTS!$F:$F&lt;TODAY())*(INSTALMENTS!$I:$I&lt;INSTALMENTS!$H:$H)),0)&gt;0,"🔴 Overdue","🟢 Active")))</f>
        <v/>
      </c>
      <c r="S186" s="26"/>
      <c r="T186" s="26"/>
      <c r="U186" s="26"/>
      <c r="V186" s="26"/>
      <c r="W186" s="26"/>
      <c r="X186" s="29"/>
      <c r="Y186" s="29"/>
      <c r="Z186" s="29"/>
      <c r="AA186" s="29"/>
      <c r="AB186" s="29"/>
      <c r="AC186" s="29"/>
      <c r="AD186" s="30"/>
      <c r="AE186" s="30"/>
      <c r="AF186" s="30"/>
      <c r="AG186" s="30"/>
      <c r="AH186" s="31"/>
      <c r="AI186" s="31"/>
      <c r="AJ186" s="31"/>
      <c r="AK186" s="31"/>
      <c r="AL186" s="31"/>
      <c r="AM186" s="31"/>
      <c r="AN186" s="26"/>
      <c r="AO186" s="26"/>
      <c r="AP186" s="26"/>
      <c r="AQ186" s="26"/>
      <c r="AR186" s="26"/>
      <c r="AS186" s="26"/>
      <c r="AT186" s="26"/>
      <c r="AU186" s="26"/>
      <c r="AV186" s="32"/>
    </row>
    <row r="187" customFormat="false" ht="15" hidden="false" customHeight="false" outlineLevel="0" collapsed="false">
      <c r="A187" s="24" t="n">
        <v>184</v>
      </c>
      <c r="B187" s="25" t="str">
        <f aca="true">IF(C187="","",IF(E187="","",IFERROR("BTM-"&amp;LEFT(C187,3)&amp;"-"&amp;E187&amp;"-"&amp;TEXT(TODAY(),"YY")&amp;"-"&amp;TEXT(A187,"000"),"")))</f>
        <v/>
      </c>
      <c r="C187" s="26"/>
      <c r="D187" s="26"/>
      <c r="E187" s="26"/>
      <c r="F187" s="26"/>
      <c r="G187" s="26"/>
      <c r="H187" s="26"/>
      <c r="I187" s="26"/>
      <c r="J187" s="27" t="str">
        <f aca="false">IF(F187="","",IF(I187="","",F187*I187))</f>
        <v/>
      </c>
      <c r="K187" s="26"/>
      <c r="L187" s="26"/>
      <c r="M187" s="27" t="str">
        <f aca="false">IF(OR(J187="",L187="",K187=""),"",IFERROR((J187-K187-IF(O187="Adjust in Plan",N187,0))/L187,"-"))</f>
        <v/>
      </c>
      <c r="N187" s="28"/>
      <c r="O187" s="28"/>
      <c r="P187" s="27" t="n">
        <f aca="false">IFERROR(SUMIF(INSTALMENTS!$C:$C,B187,INSTALMENTS!$I:$I),0)</f>
        <v>0</v>
      </c>
      <c r="Q187" s="27" t="str">
        <f aca="false">IF(J187="","",J187-P187)</f>
        <v/>
      </c>
      <c r="R187" s="25" t="str">
        <f aca="true">IF(J187="","",IF(Q187&lt;=0,"✅ Completed",IF(IFERROR(SUMPRODUCT((INSTALMENTS!$C:$C=B187)*(INSTALMENTS!$F:$F&lt;TODAY())*(INSTALMENTS!$I:$I&lt;INSTALMENTS!$H:$H)),0)&gt;0,"🔴 Overdue","🟢 Active")))</f>
        <v/>
      </c>
      <c r="S187" s="26"/>
      <c r="T187" s="26"/>
      <c r="U187" s="26"/>
      <c r="V187" s="26"/>
      <c r="W187" s="26"/>
      <c r="X187" s="29"/>
      <c r="Y187" s="29"/>
      <c r="Z187" s="29"/>
      <c r="AA187" s="29"/>
      <c r="AB187" s="29"/>
      <c r="AC187" s="29"/>
      <c r="AD187" s="30"/>
      <c r="AE187" s="30"/>
      <c r="AF187" s="30"/>
      <c r="AG187" s="30"/>
      <c r="AH187" s="31"/>
      <c r="AI187" s="31"/>
      <c r="AJ187" s="31"/>
      <c r="AK187" s="31"/>
      <c r="AL187" s="31"/>
      <c r="AM187" s="31"/>
      <c r="AN187" s="26"/>
      <c r="AO187" s="26"/>
      <c r="AP187" s="26"/>
      <c r="AQ187" s="26"/>
      <c r="AR187" s="26"/>
      <c r="AS187" s="26"/>
      <c r="AT187" s="26"/>
      <c r="AU187" s="26"/>
      <c r="AV187" s="32"/>
    </row>
    <row r="188" customFormat="false" ht="15" hidden="false" customHeight="false" outlineLevel="0" collapsed="false">
      <c r="A188" s="24" t="n">
        <v>185</v>
      </c>
      <c r="B188" s="25" t="str">
        <f aca="true">IF(C188="","",IF(E188="","",IFERROR("BTM-"&amp;LEFT(C188,3)&amp;"-"&amp;E188&amp;"-"&amp;TEXT(TODAY(),"YY")&amp;"-"&amp;TEXT(A188,"000"),"")))</f>
        <v/>
      </c>
      <c r="C188" s="26"/>
      <c r="D188" s="26"/>
      <c r="E188" s="26"/>
      <c r="F188" s="26"/>
      <c r="G188" s="26"/>
      <c r="H188" s="26"/>
      <c r="I188" s="26"/>
      <c r="J188" s="27" t="str">
        <f aca="false">IF(F188="","",IF(I188="","",F188*I188))</f>
        <v/>
      </c>
      <c r="K188" s="26"/>
      <c r="L188" s="26"/>
      <c r="M188" s="27" t="str">
        <f aca="false">IF(OR(J188="",L188="",K188=""),"",IFERROR((J188-K188-IF(O188="Adjust in Plan",N188,0))/L188,"-"))</f>
        <v/>
      </c>
      <c r="N188" s="28"/>
      <c r="O188" s="28"/>
      <c r="P188" s="27" t="n">
        <f aca="false">IFERROR(SUMIF(INSTALMENTS!$C:$C,B188,INSTALMENTS!$I:$I),0)</f>
        <v>0</v>
      </c>
      <c r="Q188" s="27" t="str">
        <f aca="false">IF(J188="","",J188-P188)</f>
        <v/>
      </c>
      <c r="R188" s="25" t="str">
        <f aca="true">IF(J188="","",IF(Q188&lt;=0,"✅ Completed",IF(IFERROR(SUMPRODUCT((INSTALMENTS!$C:$C=B188)*(INSTALMENTS!$F:$F&lt;TODAY())*(INSTALMENTS!$I:$I&lt;INSTALMENTS!$H:$H)),0)&gt;0,"🔴 Overdue","🟢 Active")))</f>
        <v/>
      </c>
      <c r="S188" s="26"/>
      <c r="T188" s="26"/>
      <c r="U188" s="26"/>
      <c r="V188" s="26"/>
      <c r="W188" s="26"/>
      <c r="X188" s="29"/>
      <c r="Y188" s="29"/>
      <c r="Z188" s="29"/>
      <c r="AA188" s="29"/>
      <c r="AB188" s="29"/>
      <c r="AC188" s="29"/>
      <c r="AD188" s="30"/>
      <c r="AE188" s="30"/>
      <c r="AF188" s="30"/>
      <c r="AG188" s="30"/>
      <c r="AH188" s="31"/>
      <c r="AI188" s="31"/>
      <c r="AJ188" s="31"/>
      <c r="AK188" s="31"/>
      <c r="AL188" s="31"/>
      <c r="AM188" s="31"/>
      <c r="AN188" s="26"/>
      <c r="AO188" s="26"/>
      <c r="AP188" s="26"/>
      <c r="AQ188" s="26"/>
      <c r="AR188" s="26"/>
      <c r="AS188" s="26"/>
      <c r="AT188" s="26"/>
      <c r="AU188" s="26"/>
      <c r="AV188" s="32"/>
    </row>
    <row r="189" customFormat="false" ht="15" hidden="false" customHeight="false" outlineLevel="0" collapsed="false">
      <c r="A189" s="24" t="n">
        <v>186</v>
      </c>
      <c r="B189" s="25" t="str">
        <f aca="true">IF(C189="","",IF(E189="","",IFERROR("BTM-"&amp;LEFT(C189,3)&amp;"-"&amp;E189&amp;"-"&amp;TEXT(TODAY(),"YY")&amp;"-"&amp;TEXT(A189,"000"),"")))</f>
        <v/>
      </c>
      <c r="C189" s="26"/>
      <c r="D189" s="26"/>
      <c r="E189" s="26"/>
      <c r="F189" s="26"/>
      <c r="G189" s="26"/>
      <c r="H189" s="26"/>
      <c r="I189" s="26"/>
      <c r="J189" s="27" t="str">
        <f aca="false">IF(F189="","",IF(I189="","",F189*I189))</f>
        <v/>
      </c>
      <c r="K189" s="26"/>
      <c r="L189" s="26"/>
      <c r="M189" s="27" t="str">
        <f aca="false">IF(OR(J189="",L189="",K189=""),"",IFERROR((J189-K189-IF(O189="Adjust in Plan",N189,0))/L189,"-"))</f>
        <v/>
      </c>
      <c r="N189" s="28"/>
      <c r="O189" s="28"/>
      <c r="P189" s="27" t="n">
        <f aca="false">IFERROR(SUMIF(INSTALMENTS!$C:$C,B189,INSTALMENTS!$I:$I),0)</f>
        <v>0</v>
      </c>
      <c r="Q189" s="27" t="str">
        <f aca="false">IF(J189="","",J189-P189)</f>
        <v/>
      </c>
      <c r="R189" s="25" t="str">
        <f aca="true">IF(J189="","",IF(Q189&lt;=0,"✅ Completed",IF(IFERROR(SUMPRODUCT((INSTALMENTS!$C:$C=B189)*(INSTALMENTS!$F:$F&lt;TODAY())*(INSTALMENTS!$I:$I&lt;INSTALMENTS!$H:$H)),0)&gt;0,"🔴 Overdue","🟢 Active")))</f>
        <v/>
      </c>
      <c r="S189" s="26"/>
      <c r="T189" s="26"/>
      <c r="U189" s="26"/>
      <c r="V189" s="26"/>
      <c r="W189" s="26"/>
      <c r="X189" s="29"/>
      <c r="Y189" s="29"/>
      <c r="Z189" s="29"/>
      <c r="AA189" s="29"/>
      <c r="AB189" s="29"/>
      <c r="AC189" s="29"/>
      <c r="AD189" s="30"/>
      <c r="AE189" s="30"/>
      <c r="AF189" s="30"/>
      <c r="AG189" s="30"/>
      <c r="AH189" s="31"/>
      <c r="AI189" s="31"/>
      <c r="AJ189" s="31"/>
      <c r="AK189" s="31"/>
      <c r="AL189" s="31"/>
      <c r="AM189" s="31"/>
      <c r="AN189" s="26"/>
      <c r="AO189" s="26"/>
      <c r="AP189" s="26"/>
      <c r="AQ189" s="26"/>
      <c r="AR189" s="26"/>
      <c r="AS189" s="26"/>
      <c r="AT189" s="26"/>
      <c r="AU189" s="26"/>
      <c r="AV189" s="32"/>
    </row>
    <row r="190" customFormat="false" ht="15" hidden="false" customHeight="false" outlineLevel="0" collapsed="false">
      <c r="A190" s="24" t="n">
        <v>187</v>
      </c>
      <c r="B190" s="25" t="str">
        <f aca="true">IF(C190="","",IF(E190="","",IFERROR("BTM-"&amp;LEFT(C190,3)&amp;"-"&amp;E190&amp;"-"&amp;TEXT(TODAY(),"YY")&amp;"-"&amp;TEXT(A190,"000"),"")))</f>
        <v/>
      </c>
      <c r="C190" s="26"/>
      <c r="D190" s="26"/>
      <c r="E190" s="26"/>
      <c r="F190" s="26"/>
      <c r="G190" s="26"/>
      <c r="H190" s="26"/>
      <c r="I190" s="26"/>
      <c r="J190" s="27" t="str">
        <f aca="false">IF(F190="","",IF(I190="","",F190*I190))</f>
        <v/>
      </c>
      <c r="K190" s="26"/>
      <c r="L190" s="26"/>
      <c r="M190" s="27" t="str">
        <f aca="false">IF(OR(J190="",L190="",K190=""),"",IFERROR((J190-K190-IF(O190="Adjust in Plan",N190,0))/L190,"-"))</f>
        <v/>
      </c>
      <c r="N190" s="28"/>
      <c r="O190" s="28"/>
      <c r="P190" s="27" t="n">
        <f aca="false">IFERROR(SUMIF(INSTALMENTS!$C:$C,B190,INSTALMENTS!$I:$I),0)</f>
        <v>0</v>
      </c>
      <c r="Q190" s="27" t="str">
        <f aca="false">IF(J190="","",J190-P190)</f>
        <v/>
      </c>
      <c r="R190" s="25" t="str">
        <f aca="true">IF(J190="","",IF(Q190&lt;=0,"✅ Completed",IF(IFERROR(SUMPRODUCT((INSTALMENTS!$C:$C=B190)*(INSTALMENTS!$F:$F&lt;TODAY())*(INSTALMENTS!$I:$I&lt;INSTALMENTS!$H:$H)),0)&gt;0,"🔴 Overdue","🟢 Active")))</f>
        <v/>
      </c>
      <c r="S190" s="26"/>
      <c r="T190" s="26"/>
      <c r="U190" s="26"/>
      <c r="V190" s="26"/>
      <c r="W190" s="26"/>
      <c r="X190" s="29"/>
      <c r="Y190" s="29"/>
      <c r="Z190" s="29"/>
      <c r="AA190" s="29"/>
      <c r="AB190" s="29"/>
      <c r="AC190" s="29"/>
      <c r="AD190" s="30"/>
      <c r="AE190" s="30"/>
      <c r="AF190" s="30"/>
      <c r="AG190" s="30"/>
      <c r="AH190" s="31"/>
      <c r="AI190" s="31"/>
      <c r="AJ190" s="31"/>
      <c r="AK190" s="31"/>
      <c r="AL190" s="31"/>
      <c r="AM190" s="31"/>
      <c r="AN190" s="26"/>
      <c r="AO190" s="26"/>
      <c r="AP190" s="26"/>
      <c r="AQ190" s="26"/>
      <c r="AR190" s="26"/>
      <c r="AS190" s="26"/>
      <c r="AT190" s="26"/>
      <c r="AU190" s="26"/>
      <c r="AV190" s="32"/>
    </row>
    <row r="191" customFormat="false" ht="15" hidden="false" customHeight="false" outlineLevel="0" collapsed="false">
      <c r="A191" s="24" t="n">
        <v>188</v>
      </c>
      <c r="B191" s="25" t="str">
        <f aca="true">IF(C191="","",IF(E191="","",IFERROR("BTM-"&amp;LEFT(C191,3)&amp;"-"&amp;E191&amp;"-"&amp;TEXT(TODAY(),"YY")&amp;"-"&amp;TEXT(A191,"000"),"")))</f>
        <v/>
      </c>
      <c r="C191" s="26"/>
      <c r="D191" s="26"/>
      <c r="E191" s="26"/>
      <c r="F191" s="26"/>
      <c r="G191" s="26"/>
      <c r="H191" s="26"/>
      <c r="I191" s="26"/>
      <c r="J191" s="27" t="str">
        <f aca="false">IF(F191="","",IF(I191="","",F191*I191))</f>
        <v/>
      </c>
      <c r="K191" s="26"/>
      <c r="L191" s="26"/>
      <c r="M191" s="27" t="str">
        <f aca="false">IF(OR(J191="",L191="",K191=""),"",IFERROR((J191-K191-IF(O191="Adjust in Plan",N191,0))/L191,"-"))</f>
        <v/>
      </c>
      <c r="N191" s="28"/>
      <c r="O191" s="28"/>
      <c r="P191" s="27" t="n">
        <f aca="false">IFERROR(SUMIF(INSTALMENTS!$C:$C,B191,INSTALMENTS!$I:$I),0)</f>
        <v>0</v>
      </c>
      <c r="Q191" s="27" t="str">
        <f aca="false">IF(J191="","",J191-P191)</f>
        <v/>
      </c>
      <c r="R191" s="25" t="str">
        <f aca="true">IF(J191="","",IF(Q191&lt;=0,"✅ Completed",IF(IFERROR(SUMPRODUCT((INSTALMENTS!$C:$C=B191)*(INSTALMENTS!$F:$F&lt;TODAY())*(INSTALMENTS!$I:$I&lt;INSTALMENTS!$H:$H)),0)&gt;0,"🔴 Overdue","🟢 Active")))</f>
        <v/>
      </c>
      <c r="S191" s="26"/>
      <c r="T191" s="26"/>
      <c r="U191" s="26"/>
      <c r="V191" s="26"/>
      <c r="W191" s="26"/>
      <c r="X191" s="29"/>
      <c r="Y191" s="29"/>
      <c r="Z191" s="29"/>
      <c r="AA191" s="29"/>
      <c r="AB191" s="29"/>
      <c r="AC191" s="29"/>
      <c r="AD191" s="30"/>
      <c r="AE191" s="30"/>
      <c r="AF191" s="30"/>
      <c r="AG191" s="30"/>
      <c r="AH191" s="31"/>
      <c r="AI191" s="31"/>
      <c r="AJ191" s="31"/>
      <c r="AK191" s="31"/>
      <c r="AL191" s="31"/>
      <c r="AM191" s="31"/>
      <c r="AN191" s="26"/>
      <c r="AO191" s="26"/>
      <c r="AP191" s="26"/>
      <c r="AQ191" s="26"/>
      <c r="AR191" s="26"/>
      <c r="AS191" s="26"/>
      <c r="AT191" s="26"/>
      <c r="AU191" s="26"/>
      <c r="AV191" s="32"/>
    </row>
    <row r="192" customFormat="false" ht="15" hidden="false" customHeight="false" outlineLevel="0" collapsed="false">
      <c r="A192" s="24" t="n">
        <v>189</v>
      </c>
      <c r="B192" s="25" t="str">
        <f aca="true">IF(C192="","",IF(E192="","",IFERROR("BTM-"&amp;LEFT(C192,3)&amp;"-"&amp;E192&amp;"-"&amp;TEXT(TODAY(),"YY")&amp;"-"&amp;TEXT(A192,"000"),"")))</f>
        <v/>
      </c>
      <c r="C192" s="26"/>
      <c r="D192" s="26"/>
      <c r="E192" s="26"/>
      <c r="F192" s="26"/>
      <c r="G192" s="26"/>
      <c r="H192" s="26"/>
      <c r="I192" s="26"/>
      <c r="J192" s="27" t="str">
        <f aca="false">IF(F192="","",IF(I192="","",F192*I192))</f>
        <v/>
      </c>
      <c r="K192" s="26"/>
      <c r="L192" s="26"/>
      <c r="M192" s="27" t="str">
        <f aca="false">IF(OR(J192="",L192="",K192=""),"",IFERROR((J192-K192-IF(O192="Adjust in Plan",N192,0))/L192,"-"))</f>
        <v/>
      </c>
      <c r="N192" s="28"/>
      <c r="O192" s="28"/>
      <c r="P192" s="27" t="n">
        <f aca="false">IFERROR(SUMIF(INSTALMENTS!$C:$C,B192,INSTALMENTS!$I:$I),0)</f>
        <v>0</v>
      </c>
      <c r="Q192" s="27" t="str">
        <f aca="false">IF(J192="","",J192-P192)</f>
        <v/>
      </c>
      <c r="R192" s="25" t="str">
        <f aca="true">IF(J192="","",IF(Q192&lt;=0,"✅ Completed",IF(IFERROR(SUMPRODUCT((INSTALMENTS!$C:$C=B192)*(INSTALMENTS!$F:$F&lt;TODAY())*(INSTALMENTS!$I:$I&lt;INSTALMENTS!$H:$H)),0)&gt;0,"🔴 Overdue","🟢 Active")))</f>
        <v/>
      </c>
      <c r="S192" s="26"/>
      <c r="T192" s="26"/>
      <c r="U192" s="26"/>
      <c r="V192" s="26"/>
      <c r="W192" s="26"/>
      <c r="X192" s="29"/>
      <c r="Y192" s="29"/>
      <c r="Z192" s="29"/>
      <c r="AA192" s="29"/>
      <c r="AB192" s="29"/>
      <c r="AC192" s="29"/>
      <c r="AD192" s="30"/>
      <c r="AE192" s="30"/>
      <c r="AF192" s="30"/>
      <c r="AG192" s="30"/>
      <c r="AH192" s="31"/>
      <c r="AI192" s="31"/>
      <c r="AJ192" s="31"/>
      <c r="AK192" s="31"/>
      <c r="AL192" s="31"/>
      <c r="AM192" s="31"/>
      <c r="AN192" s="26"/>
      <c r="AO192" s="26"/>
      <c r="AP192" s="26"/>
      <c r="AQ192" s="26"/>
      <c r="AR192" s="26"/>
      <c r="AS192" s="26"/>
      <c r="AT192" s="26"/>
      <c r="AU192" s="26"/>
      <c r="AV192" s="32"/>
    </row>
    <row r="193" customFormat="false" ht="15" hidden="false" customHeight="false" outlineLevel="0" collapsed="false">
      <c r="A193" s="24" t="n">
        <v>190</v>
      </c>
      <c r="B193" s="25" t="str">
        <f aca="true">IF(C193="","",IF(E193="","",IFERROR("BTM-"&amp;LEFT(C193,3)&amp;"-"&amp;E193&amp;"-"&amp;TEXT(TODAY(),"YY")&amp;"-"&amp;TEXT(A193,"000"),"")))</f>
        <v/>
      </c>
      <c r="C193" s="26"/>
      <c r="D193" s="26"/>
      <c r="E193" s="26"/>
      <c r="F193" s="26"/>
      <c r="G193" s="26"/>
      <c r="H193" s="26"/>
      <c r="I193" s="26"/>
      <c r="J193" s="27" t="str">
        <f aca="false">IF(F193="","",IF(I193="","",F193*I193))</f>
        <v/>
      </c>
      <c r="K193" s="26"/>
      <c r="L193" s="26"/>
      <c r="M193" s="27" t="str">
        <f aca="false">IF(OR(J193="",L193="",K193=""),"",IFERROR((J193-K193-IF(O193="Adjust in Plan",N193,0))/L193,"-"))</f>
        <v/>
      </c>
      <c r="N193" s="28"/>
      <c r="O193" s="28"/>
      <c r="P193" s="27" t="n">
        <f aca="false">IFERROR(SUMIF(INSTALMENTS!$C:$C,B193,INSTALMENTS!$I:$I),0)</f>
        <v>0</v>
      </c>
      <c r="Q193" s="27" t="str">
        <f aca="false">IF(J193="","",J193-P193)</f>
        <v/>
      </c>
      <c r="R193" s="25" t="str">
        <f aca="true">IF(J193="","",IF(Q193&lt;=0,"✅ Completed",IF(IFERROR(SUMPRODUCT((INSTALMENTS!$C:$C=B193)*(INSTALMENTS!$F:$F&lt;TODAY())*(INSTALMENTS!$I:$I&lt;INSTALMENTS!$H:$H)),0)&gt;0,"🔴 Overdue","🟢 Active")))</f>
        <v/>
      </c>
      <c r="S193" s="26"/>
      <c r="T193" s="26"/>
      <c r="U193" s="26"/>
      <c r="V193" s="26"/>
      <c r="W193" s="26"/>
      <c r="X193" s="29"/>
      <c r="Y193" s="29"/>
      <c r="Z193" s="29"/>
      <c r="AA193" s="29"/>
      <c r="AB193" s="29"/>
      <c r="AC193" s="29"/>
      <c r="AD193" s="30"/>
      <c r="AE193" s="30"/>
      <c r="AF193" s="30"/>
      <c r="AG193" s="30"/>
      <c r="AH193" s="31"/>
      <c r="AI193" s="31"/>
      <c r="AJ193" s="31"/>
      <c r="AK193" s="31"/>
      <c r="AL193" s="31"/>
      <c r="AM193" s="31"/>
      <c r="AN193" s="26"/>
      <c r="AO193" s="26"/>
      <c r="AP193" s="26"/>
      <c r="AQ193" s="26"/>
      <c r="AR193" s="26"/>
      <c r="AS193" s="26"/>
      <c r="AT193" s="26"/>
      <c r="AU193" s="26"/>
      <c r="AV193" s="32"/>
    </row>
    <row r="194" customFormat="false" ht="15" hidden="false" customHeight="false" outlineLevel="0" collapsed="false">
      <c r="A194" s="24" t="n">
        <v>191</v>
      </c>
      <c r="B194" s="25" t="str">
        <f aca="true">IF(C194="","",IF(E194="","",IFERROR("BTM-"&amp;LEFT(C194,3)&amp;"-"&amp;E194&amp;"-"&amp;TEXT(TODAY(),"YY")&amp;"-"&amp;TEXT(A194,"000"),"")))</f>
        <v/>
      </c>
      <c r="C194" s="26"/>
      <c r="D194" s="26"/>
      <c r="E194" s="26"/>
      <c r="F194" s="26"/>
      <c r="G194" s="26"/>
      <c r="H194" s="26"/>
      <c r="I194" s="26"/>
      <c r="J194" s="27" t="str">
        <f aca="false">IF(F194="","",IF(I194="","",F194*I194))</f>
        <v/>
      </c>
      <c r="K194" s="26"/>
      <c r="L194" s="26"/>
      <c r="M194" s="27" t="str">
        <f aca="false">IF(OR(J194="",L194="",K194=""),"",IFERROR((J194-K194-IF(O194="Adjust in Plan",N194,0))/L194,"-"))</f>
        <v/>
      </c>
      <c r="N194" s="28"/>
      <c r="O194" s="28"/>
      <c r="P194" s="27" t="n">
        <f aca="false">IFERROR(SUMIF(INSTALMENTS!$C:$C,B194,INSTALMENTS!$I:$I),0)</f>
        <v>0</v>
      </c>
      <c r="Q194" s="27" t="str">
        <f aca="false">IF(J194="","",J194-P194)</f>
        <v/>
      </c>
      <c r="R194" s="25" t="str">
        <f aca="true">IF(J194="","",IF(Q194&lt;=0,"✅ Completed",IF(IFERROR(SUMPRODUCT((INSTALMENTS!$C:$C=B194)*(INSTALMENTS!$F:$F&lt;TODAY())*(INSTALMENTS!$I:$I&lt;INSTALMENTS!$H:$H)),0)&gt;0,"🔴 Overdue","🟢 Active")))</f>
        <v/>
      </c>
      <c r="S194" s="26"/>
      <c r="T194" s="26"/>
      <c r="U194" s="26"/>
      <c r="V194" s="26"/>
      <c r="W194" s="26"/>
      <c r="X194" s="29"/>
      <c r="Y194" s="29"/>
      <c r="Z194" s="29"/>
      <c r="AA194" s="29"/>
      <c r="AB194" s="29"/>
      <c r="AC194" s="29"/>
      <c r="AD194" s="30"/>
      <c r="AE194" s="30"/>
      <c r="AF194" s="30"/>
      <c r="AG194" s="30"/>
      <c r="AH194" s="31"/>
      <c r="AI194" s="31"/>
      <c r="AJ194" s="31"/>
      <c r="AK194" s="31"/>
      <c r="AL194" s="31"/>
      <c r="AM194" s="31"/>
      <c r="AN194" s="26"/>
      <c r="AO194" s="26"/>
      <c r="AP194" s="26"/>
      <c r="AQ194" s="26"/>
      <c r="AR194" s="26"/>
      <c r="AS194" s="26"/>
      <c r="AT194" s="26"/>
      <c r="AU194" s="26"/>
      <c r="AV194" s="32"/>
    </row>
    <row r="195" customFormat="false" ht="15" hidden="false" customHeight="false" outlineLevel="0" collapsed="false">
      <c r="A195" s="24" t="n">
        <v>192</v>
      </c>
      <c r="B195" s="25" t="str">
        <f aca="true">IF(C195="","",IF(E195="","",IFERROR("BTM-"&amp;LEFT(C195,3)&amp;"-"&amp;E195&amp;"-"&amp;TEXT(TODAY(),"YY")&amp;"-"&amp;TEXT(A195,"000"),"")))</f>
        <v/>
      </c>
      <c r="C195" s="26"/>
      <c r="D195" s="26"/>
      <c r="E195" s="26"/>
      <c r="F195" s="26"/>
      <c r="G195" s="26"/>
      <c r="H195" s="26"/>
      <c r="I195" s="26"/>
      <c r="J195" s="27" t="str">
        <f aca="false">IF(F195="","",IF(I195="","",F195*I195))</f>
        <v/>
      </c>
      <c r="K195" s="26"/>
      <c r="L195" s="26"/>
      <c r="M195" s="27" t="str">
        <f aca="false">IF(OR(J195="",L195="",K195=""),"",IFERROR((J195-K195-IF(O195="Adjust in Plan",N195,0))/L195,"-"))</f>
        <v/>
      </c>
      <c r="N195" s="28"/>
      <c r="O195" s="28"/>
      <c r="P195" s="27" t="n">
        <f aca="false">IFERROR(SUMIF(INSTALMENTS!$C:$C,B195,INSTALMENTS!$I:$I),0)</f>
        <v>0</v>
      </c>
      <c r="Q195" s="27" t="str">
        <f aca="false">IF(J195="","",J195-P195)</f>
        <v/>
      </c>
      <c r="R195" s="25" t="str">
        <f aca="true">IF(J195="","",IF(Q195&lt;=0,"✅ Completed",IF(IFERROR(SUMPRODUCT((INSTALMENTS!$C:$C=B195)*(INSTALMENTS!$F:$F&lt;TODAY())*(INSTALMENTS!$I:$I&lt;INSTALMENTS!$H:$H)),0)&gt;0,"🔴 Overdue","🟢 Active")))</f>
        <v/>
      </c>
      <c r="S195" s="26"/>
      <c r="T195" s="26"/>
      <c r="U195" s="26"/>
      <c r="V195" s="26"/>
      <c r="W195" s="26"/>
      <c r="X195" s="29"/>
      <c r="Y195" s="29"/>
      <c r="Z195" s="29"/>
      <c r="AA195" s="29"/>
      <c r="AB195" s="29"/>
      <c r="AC195" s="29"/>
      <c r="AD195" s="30"/>
      <c r="AE195" s="30"/>
      <c r="AF195" s="30"/>
      <c r="AG195" s="30"/>
      <c r="AH195" s="31"/>
      <c r="AI195" s="31"/>
      <c r="AJ195" s="31"/>
      <c r="AK195" s="31"/>
      <c r="AL195" s="31"/>
      <c r="AM195" s="31"/>
      <c r="AN195" s="26"/>
      <c r="AO195" s="26"/>
      <c r="AP195" s="26"/>
      <c r="AQ195" s="26"/>
      <c r="AR195" s="26"/>
      <c r="AS195" s="26"/>
      <c r="AT195" s="26"/>
      <c r="AU195" s="26"/>
      <c r="AV195" s="32"/>
    </row>
    <row r="196" customFormat="false" ht="15" hidden="false" customHeight="false" outlineLevel="0" collapsed="false">
      <c r="A196" s="24" t="n">
        <v>193</v>
      </c>
      <c r="B196" s="25" t="str">
        <f aca="true">IF(C196="","",IF(E196="","",IFERROR("BTM-"&amp;LEFT(C196,3)&amp;"-"&amp;E196&amp;"-"&amp;TEXT(TODAY(),"YY")&amp;"-"&amp;TEXT(A196,"000"),"")))</f>
        <v/>
      </c>
      <c r="C196" s="26"/>
      <c r="D196" s="26"/>
      <c r="E196" s="26"/>
      <c r="F196" s="26"/>
      <c r="G196" s="26"/>
      <c r="H196" s="26"/>
      <c r="I196" s="26"/>
      <c r="J196" s="27" t="str">
        <f aca="false">IF(F196="","",IF(I196="","",F196*I196))</f>
        <v/>
      </c>
      <c r="K196" s="26"/>
      <c r="L196" s="26"/>
      <c r="M196" s="27" t="str">
        <f aca="false">IF(OR(J196="",L196="",K196=""),"",IFERROR((J196-K196-IF(O196="Adjust in Plan",N196,0))/L196,"-"))</f>
        <v/>
      </c>
      <c r="N196" s="28"/>
      <c r="O196" s="28"/>
      <c r="P196" s="27" t="n">
        <f aca="false">IFERROR(SUMIF(INSTALMENTS!$C:$C,B196,INSTALMENTS!$I:$I),0)</f>
        <v>0</v>
      </c>
      <c r="Q196" s="27" t="str">
        <f aca="false">IF(J196="","",J196-P196)</f>
        <v/>
      </c>
      <c r="R196" s="25" t="str">
        <f aca="true">IF(J196="","",IF(Q196&lt;=0,"✅ Completed",IF(IFERROR(SUMPRODUCT((INSTALMENTS!$C:$C=B196)*(INSTALMENTS!$F:$F&lt;TODAY())*(INSTALMENTS!$I:$I&lt;INSTALMENTS!$H:$H)),0)&gt;0,"🔴 Overdue","🟢 Active")))</f>
        <v/>
      </c>
      <c r="S196" s="26"/>
      <c r="T196" s="26"/>
      <c r="U196" s="26"/>
      <c r="V196" s="26"/>
      <c r="W196" s="26"/>
      <c r="X196" s="29"/>
      <c r="Y196" s="29"/>
      <c r="Z196" s="29"/>
      <c r="AA196" s="29"/>
      <c r="AB196" s="29"/>
      <c r="AC196" s="29"/>
      <c r="AD196" s="30"/>
      <c r="AE196" s="30"/>
      <c r="AF196" s="30"/>
      <c r="AG196" s="30"/>
      <c r="AH196" s="31"/>
      <c r="AI196" s="31"/>
      <c r="AJ196" s="31"/>
      <c r="AK196" s="31"/>
      <c r="AL196" s="31"/>
      <c r="AM196" s="31"/>
      <c r="AN196" s="26"/>
      <c r="AO196" s="26"/>
      <c r="AP196" s="26"/>
      <c r="AQ196" s="26"/>
      <c r="AR196" s="26"/>
      <c r="AS196" s="26"/>
      <c r="AT196" s="26"/>
      <c r="AU196" s="26"/>
      <c r="AV196" s="32"/>
    </row>
    <row r="197" customFormat="false" ht="15" hidden="false" customHeight="false" outlineLevel="0" collapsed="false">
      <c r="A197" s="24" t="n">
        <v>194</v>
      </c>
      <c r="B197" s="25" t="str">
        <f aca="true">IF(C197="","",IF(E197="","",IFERROR("BTM-"&amp;LEFT(C197,3)&amp;"-"&amp;E197&amp;"-"&amp;TEXT(TODAY(),"YY")&amp;"-"&amp;TEXT(A197,"000"),"")))</f>
        <v/>
      </c>
      <c r="C197" s="26"/>
      <c r="D197" s="26"/>
      <c r="E197" s="26"/>
      <c r="F197" s="26"/>
      <c r="G197" s="26"/>
      <c r="H197" s="26"/>
      <c r="I197" s="26"/>
      <c r="J197" s="27" t="str">
        <f aca="false">IF(F197="","",IF(I197="","",F197*I197))</f>
        <v/>
      </c>
      <c r="K197" s="26"/>
      <c r="L197" s="26"/>
      <c r="M197" s="27" t="str">
        <f aca="false">IF(OR(J197="",L197="",K197=""),"",IFERROR((J197-K197-IF(O197="Adjust in Plan",N197,0))/L197,"-"))</f>
        <v/>
      </c>
      <c r="N197" s="28"/>
      <c r="O197" s="28"/>
      <c r="P197" s="27" t="n">
        <f aca="false">IFERROR(SUMIF(INSTALMENTS!$C:$C,B197,INSTALMENTS!$I:$I),0)</f>
        <v>0</v>
      </c>
      <c r="Q197" s="27" t="str">
        <f aca="false">IF(J197="","",J197-P197)</f>
        <v/>
      </c>
      <c r="R197" s="25" t="str">
        <f aca="true">IF(J197="","",IF(Q197&lt;=0,"✅ Completed",IF(IFERROR(SUMPRODUCT((INSTALMENTS!$C:$C=B197)*(INSTALMENTS!$F:$F&lt;TODAY())*(INSTALMENTS!$I:$I&lt;INSTALMENTS!$H:$H)),0)&gt;0,"🔴 Overdue","🟢 Active")))</f>
        <v/>
      </c>
      <c r="S197" s="26"/>
      <c r="T197" s="26"/>
      <c r="U197" s="26"/>
      <c r="V197" s="26"/>
      <c r="W197" s="26"/>
      <c r="X197" s="29"/>
      <c r="Y197" s="29"/>
      <c r="Z197" s="29"/>
      <c r="AA197" s="29"/>
      <c r="AB197" s="29"/>
      <c r="AC197" s="29"/>
      <c r="AD197" s="30"/>
      <c r="AE197" s="30"/>
      <c r="AF197" s="30"/>
      <c r="AG197" s="30"/>
      <c r="AH197" s="31"/>
      <c r="AI197" s="31"/>
      <c r="AJ197" s="31"/>
      <c r="AK197" s="31"/>
      <c r="AL197" s="31"/>
      <c r="AM197" s="31"/>
      <c r="AN197" s="26"/>
      <c r="AO197" s="26"/>
      <c r="AP197" s="26"/>
      <c r="AQ197" s="26"/>
      <c r="AR197" s="26"/>
      <c r="AS197" s="26"/>
      <c r="AT197" s="26"/>
      <c r="AU197" s="26"/>
      <c r="AV197" s="32"/>
    </row>
    <row r="198" customFormat="false" ht="15" hidden="false" customHeight="false" outlineLevel="0" collapsed="false">
      <c r="A198" s="24" t="n">
        <v>195</v>
      </c>
      <c r="B198" s="25" t="str">
        <f aca="true">IF(C198="","",IF(E198="","",IFERROR("BTM-"&amp;LEFT(C198,3)&amp;"-"&amp;E198&amp;"-"&amp;TEXT(TODAY(),"YY")&amp;"-"&amp;TEXT(A198,"000"),"")))</f>
        <v/>
      </c>
      <c r="C198" s="26"/>
      <c r="D198" s="26"/>
      <c r="E198" s="26"/>
      <c r="F198" s="26"/>
      <c r="G198" s="26"/>
      <c r="H198" s="26"/>
      <c r="I198" s="26"/>
      <c r="J198" s="27" t="str">
        <f aca="false">IF(F198="","",IF(I198="","",F198*I198))</f>
        <v/>
      </c>
      <c r="K198" s="26"/>
      <c r="L198" s="26"/>
      <c r="M198" s="27" t="str">
        <f aca="false">IF(OR(J198="",L198="",K198=""),"",IFERROR((J198-K198-IF(O198="Adjust in Plan",N198,0))/L198,"-"))</f>
        <v/>
      </c>
      <c r="N198" s="28"/>
      <c r="O198" s="28"/>
      <c r="P198" s="27" t="n">
        <f aca="false">IFERROR(SUMIF(INSTALMENTS!$C:$C,B198,INSTALMENTS!$I:$I),0)</f>
        <v>0</v>
      </c>
      <c r="Q198" s="27" t="str">
        <f aca="false">IF(J198="","",J198-P198)</f>
        <v/>
      </c>
      <c r="R198" s="25" t="str">
        <f aca="true">IF(J198="","",IF(Q198&lt;=0,"✅ Completed",IF(IFERROR(SUMPRODUCT((INSTALMENTS!$C:$C=B198)*(INSTALMENTS!$F:$F&lt;TODAY())*(INSTALMENTS!$I:$I&lt;INSTALMENTS!$H:$H)),0)&gt;0,"🔴 Overdue","🟢 Active")))</f>
        <v/>
      </c>
      <c r="S198" s="26"/>
      <c r="T198" s="26"/>
      <c r="U198" s="26"/>
      <c r="V198" s="26"/>
      <c r="W198" s="26"/>
      <c r="X198" s="29"/>
      <c r="Y198" s="29"/>
      <c r="Z198" s="29"/>
      <c r="AA198" s="29"/>
      <c r="AB198" s="29"/>
      <c r="AC198" s="29"/>
      <c r="AD198" s="30"/>
      <c r="AE198" s="30"/>
      <c r="AF198" s="30"/>
      <c r="AG198" s="30"/>
      <c r="AH198" s="31"/>
      <c r="AI198" s="31"/>
      <c r="AJ198" s="31"/>
      <c r="AK198" s="31"/>
      <c r="AL198" s="31"/>
      <c r="AM198" s="31"/>
      <c r="AN198" s="26"/>
      <c r="AO198" s="26"/>
      <c r="AP198" s="26"/>
      <c r="AQ198" s="26"/>
      <c r="AR198" s="26"/>
      <c r="AS198" s="26"/>
      <c r="AT198" s="26"/>
      <c r="AU198" s="26"/>
      <c r="AV198" s="32"/>
    </row>
    <row r="199" customFormat="false" ht="15" hidden="false" customHeight="false" outlineLevel="0" collapsed="false">
      <c r="A199" s="24" t="n">
        <v>196</v>
      </c>
      <c r="B199" s="25" t="str">
        <f aca="true">IF(C199="","",IF(E199="","",IFERROR("BTM-"&amp;LEFT(C199,3)&amp;"-"&amp;E199&amp;"-"&amp;TEXT(TODAY(),"YY")&amp;"-"&amp;TEXT(A199,"000"),"")))</f>
        <v/>
      </c>
      <c r="C199" s="26"/>
      <c r="D199" s="26"/>
      <c r="E199" s="26"/>
      <c r="F199" s="26"/>
      <c r="G199" s="26"/>
      <c r="H199" s="26"/>
      <c r="I199" s="26"/>
      <c r="J199" s="27" t="str">
        <f aca="false">IF(F199="","",IF(I199="","",F199*I199))</f>
        <v/>
      </c>
      <c r="K199" s="26"/>
      <c r="L199" s="26"/>
      <c r="M199" s="27" t="str">
        <f aca="false">IF(OR(J199="",L199="",K199=""),"",IFERROR((J199-K199-IF(O199="Adjust in Plan",N199,0))/L199,"-"))</f>
        <v/>
      </c>
      <c r="N199" s="28"/>
      <c r="O199" s="28"/>
      <c r="P199" s="27" t="n">
        <f aca="false">IFERROR(SUMIF(INSTALMENTS!$C:$C,B199,INSTALMENTS!$I:$I),0)</f>
        <v>0</v>
      </c>
      <c r="Q199" s="27" t="str">
        <f aca="false">IF(J199="","",J199-P199)</f>
        <v/>
      </c>
      <c r="R199" s="25" t="str">
        <f aca="true">IF(J199="","",IF(Q199&lt;=0,"✅ Completed",IF(IFERROR(SUMPRODUCT((INSTALMENTS!$C:$C=B199)*(INSTALMENTS!$F:$F&lt;TODAY())*(INSTALMENTS!$I:$I&lt;INSTALMENTS!$H:$H)),0)&gt;0,"🔴 Overdue","🟢 Active")))</f>
        <v/>
      </c>
      <c r="S199" s="26"/>
      <c r="T199" s="26"/>
      <c r="U199" s="26"/>
      <c r="V199" s="26"/>
      <c r="W199" s="26"/>
      <c r="X199" s="29"/>
      <c r="Y199" s="29"/>
      <c r="Z199" s="29"/>
      <c r="AA199" s="29"/>
      <c r="AB199" s="29"/>
      <c r="AC199" s="29"/>
      <c r="AD199" s="30"/>
      <c r="AE199" s="30"/>
      <c r="AF199" s="30"/>
      <c r="AG199" s="30"/>
      <c r="AH199" s="31"/>
      <c r="AI199" s="31"/>
      <c r="AJ199" s="31"/>
      <c r="AK199" s="31"/>
      <c r="AL199" s="31"/>
      <c r="AM199" s="31"/>
      <c r="AN199" s="26"/>
      <c r="AO199" s="26"/>
      <c r="AP199" s="26"/>
      <c r="AQ199" s="26"/>
      <c r="AR199" s="26"/>
      <c r="AS199" s="26"/>
      <c r="AT199" s="26"/>
      <c r="AU199" s="26"/>
      <c r="AV199" s="32"/>
    </row>
    <row r="200" customFormat="false" ht="15" hidden="false" customHeight="false" outlineLevel="0" collapsed="false">
      <c r="A200" s="24" t="n">
        <v>197</v>
      </c>
      <c r="B200" s="25" t="str">
        <f aca="true">IF(C200="","",IF(E200="","",IFERROR("BTM-"&amp;LEFT(C200,3)&amp;"-"&amp;E200&amp;"-"&amp;TEXT(TODAY(),"YY")&amp;"-"&amp;TEXT(A200,"000"),"")))</f>
        <v/>
      </c>
      <c r="C200" s="26"/>
      <c r="D200" s="26"/>
      <c r="E200" s="26"/>
      <c r="F200" s="26"/>
      <c r="G200" s="26"/>
      <c r="H200" s="26"/>
      <c r="I200" s="26"/>
      <c r="J200" s="27" t="str">
        <f aca="false">IF(F200="","",IF(I200="","",F200*I200))</f>
        <v/>
      </c>
      <c r="K200" s="26"/>
      <c r="L200" s="26"/>
      <c r="M200" s="27" t="str">
        <f aca="false">IF(OR(J200="",L200="",K200=""),"",IFERROR((J200-K200-IF(O200="Adjust in Plan",N200,0))/L200,"-"))</f>
        <v/>
      </c>
      <c r="N200" s="28"/>
      <c r="O200" s="28"/>
      <c r="P200" s="27" t="n">
        <f aca="false">IFERROR(SUMIF(INSTALMENTS!$C:$C,B200,INSTALMENTS!$I:$I),0)</f>
        <v>0</v>
      </c>
      <c r="Q200" s="27" t="str">
        <f aca="false">IF(J200="","",J200-P200)</f>
        <v/>
      </c>
      <c r="R200" s="25" t="str">
        <f aca="true">IF(J200="","",IF(Q200&lt;=0,"✅ Completed",IF(IFERROR(SUMPRODUCT((INSTALMENTS!$C:$C=B200)*(INSTALMENTS!$F:$F&lt;TODAY())*(INSTALMENTS!$I:$I&lt;INSTALMENTS!$H:$H)),0)&gt;0,"🔴 Overdue","🟢 Active")))</f>
        <v/>
      </c>
      <c r="S200" s="26"/>
      <c r="T200" s="26"/>
      <c r="U200" s="26"/>
      <c r="V200" s="26"/>
      <c r="W200" s="26"/>
      <c r="X200" s="29"/>
      <c r="Y200" s="29"/>
      <c r="Z200" s="29"/>
      <c r="AA200" s="29"/>
      <c r="AB200" s="29"/>
      <c r="AC200" s="29"/>
      <c r="AD200" s="30"/>
      <c r="AE200" s="30"/>
      <c r="AF200" s="30"/>
      <c r="AG200" s="30"/>
      <c r="AH200" s="31"/>
      <c r="AI200" s="31"/>
      <c r="AJ200" s="31"/>
      <c r="AK200" s="31"/>
      <c r="AL200" s="31"/>
      <c r="AM200" s="31"/>
      <c r="AN200" s="26"/>
      <c r="AO200" s="26"/>
      <c r="AP200" s="26"/>
      <c r="AQ200" s="26"/>
      <c r="AR200" s="26"/>
      <c r="AS200" s="26"/>
      <c r="AT200" s="26"/>
      <c r="AU200" s="26"/>
      <c r="AV200" s="32"/>
    </row>
    <row r="201" customFormat="false" ht="15" hidden="false" customHeight="false" outlineLevel="0" collapsed="false">
      <c r="A201" s="24" t="n">
        <v>198</v>
      </c>
      <c r="B201" s="25" t="str">
        <f aca="true">IF(C201="","",IF(E201="","",IFERROR("BTM-"&amp;LEFT(C201,3)&amp;"-"&amp;E201&amp;"-"&amp;TEXT(TODAY(),"YY")&amp;"-"&amp;TEXT(A201,"000"),"")))</f>
        <v/>
      </c>
      <c r="C201" s="26"/>
      <c r="D201" s="26"/>
      <c r="E201" s="26"/>
      <c r="F201" s="26"/>
      <c r="G201" s="26"/>
      <c r="H201" s="26"/>
      <c r="I201" s="26"/>
      <c r="J201" s="27" t="str">
        <f aca="false">IF(F201="","",IF(I201="","",F201*I201))</f>
        <v/>
      </c>
      <c r="K201" s="26"/>
      <c r="L201" s="26"/>
      <c r="M201" s="27" t="str">
        <f aca="false">IF(OR(J201="",L201="",K201=""),"",IFERROR((J201-K201-IF(O201="Adjust in Plan",N201,0))/L201,"-"))</f>
        <v/>
      </c>
      <c r="N201" s="28"/>
      <c r="O201" s="28"/>
      <c r="P201" s="27" t="n">
        <f aca="false">IFERROR(SUMIF(INSTALMENTS!$C:$C,B201,INSTALMENTS!$I:$I),0)</f>
        <v>0</v>
      </c>
      <c r="Q201" s="27" t="str">
        <f aca="false">IF(J201="","",J201-P201)</f>
        <v/>
      </c>
      <c r="R201" s="25" t="str">
        <f aca="true">IF(J201="","",IF(Q201&lt;=0,"✅ Completed",IF(IFERROR(SUMPRODUCT((INSTALMENTS!$C:$C=B201)*(INSTALMENTS!$F:$F&lt;TODAY())*(INSTALMENTS!$I:$I&lt;INSTALMENTS!$H:$H)),0)&gt;0,"🔴 Overdue","🟢 Active")))</f>
        <v/>
      </c>
      <c r="S201" s="26"/>
      <c r="T201" s="26"/>
      <c r="U201" s="26"/>
      <c r="V201" s="26"/>
      <c r="W201" s="26"/>
      <c r="X201" s="29"/>
      <c r="Y201" s="29"/>
      <c r="Z201" s="29"/>
      <c r="AA201" s="29"/>
      <c r="AB201" s="29"/>
      <c r="AC201" s="29"/>
      <c r="AD201" s="30"/>
      <c r="AE201" s="30"/>
      <c r="AF201" s="30"/>
      <c r="AG201" s="30"/>
      <c r="AH201" s="31"/>
      <c r="AI201" s="31"/>
      <c r="AJ201" s="31"/>
      <c r="AK201" s="31"/>
      <c r="AL201" s="31"/>
      <c r="AM201" s="31"/>
      <c r="AN201" s="26"/>
      <c r="AO201" s="26"/>
      <c r="AP201" s="26"/>
      <c r="AQ201" s="26"/>
      <c r="AR201" s="26"/>
      <c r="AS201" s="26"/>
      <c r="AT201" s="26"/>
      <c r="AU201" s="26"/>
      <c r="AV201" s="32"/>
    </row>
    <row r="202" customFormat="false" ht="15" hidden="false" customHeight="false" outlineLevel="0" collapsed="false">
      <c r="A202" s="24" t="n">
        <v>199</v>
      </c>
      <c r="B202" s="25" t="str">
        <f aca="true">IF(C202="","",IF(E202="","",IFERROR("BTM-"&amp;LEFT(C202,3)&amp;"-"&amp;E202&amp;"-"&amp;TEXT(TODAY(),"YY")&amp;"-"&amp;TEXT(A202,"000"),"")))</f>
        <v/>
      </c>
      <c r="C202" s="26"/>
      <c r="D202" s="26"/>
      <c r="E202" s="26"/>
      <c r="F202" s="26"/>
      <c r="G202" s="26"/>
      <c r="H202" s="26"/>
      <c r="I202" s="26"/>
      <c r="J202" s="27" t="str">
        <f aca="false">IF(F202="","",IF(I202="","",F202*I202))</f>
        <v/>
      </c>
      <c r="K202" s="26"/>
      <c r="L202" s="26"/>
      <c r="M202" s="27" t="str">
        <f aca="false">IF(OR(J202="",L202="",K202=""),"",IFERROR((J202-K202-IF(O202="Adjust in Plan",N202,0))/L202,"-"))</f>
        <v/>
      </c>
      <c r="N202" s="28"/>
      <c r="O202" s="28"/>
      <c r="P202" s="27" t="n">
        <f aca="false">IFERROR(SUMIF(INSTALMENTS!$C:$C,B202,INSTALMENTS!$I:$I),0)</f>
        <v>0</v>
      </c>
      <c r="Q202" s="27" t="str">
        <f aca="false">IF(J202="","",J202-P202)</f>
        <v/>
      </c>
      <c r="R202" s="25" t="str">
        <f aca="true">IF(J202="","",IF(Q202&lt;=0,"✅ Completed",IF(IFERROR(SUMPRODUCT((INSTALMENTS!$C:$C=B202)*(INSTALMENTS!$F:$F&lt;TODAY())*(INSTALMENTS!$I:$I&lt;INSTALMENTS!$H:$H)),0)&gt;0,"🔴 Overdue","🟢 Active")))</f>
        <v/>
      </c>
      <c r="S202" s="26"/>
      <c r="T202" s="26"/>
      <c r="U202" s="26"/>
      <c r="V202" s="26"/>
      <c r="W202" s="26"/>
      <c r="X202" s="29"/>
      <c r="Y202" s="29"/>
      <c r="Z202" s="29"/>
      <c r="AA202" s="29"/>
      <c r="AB202" s="29"/>
      <c r="AC202" s="29"/>
      <c r="AD202" s="30"/>
      <c r="AE202" s="30"/>
      <c r="AF202" s="30"/>
      <c r="AG202" s="30"/>
      <c r="AH202" s="31"/>
      <c r="AI202" s="31"/>
      <c r="AJ202" s="31"/>
      <c r="AK202" s="31"/>
      <c r="AL202" s="31"/>
      <c r="AM202" s="31"/>
      <c r="AN202" s="26"/>
      <c r="AO202" s="26"/>
      <c r="AP202" s="26"/>
      <c r="AQ202" s="26"/>
      <c r="AR202" s="26"/>
      <c r="AS202" s="26"/>
      <c r="AT202" s="26"/>
      <c r="AU202" s="26"/>
      <c r="AV202" s="32"/>
    </row>
    <row r="203" customFormat="false" ht="15" hidden="false" customHeight="false" outlineLevel="0" collapsed="false">
      <c r="A203" s="24" t="n">
        <v>200</v>
      </c>
      <c r="B203" s="25" t="str">
        <f aca="true">IF(C203="","",IF(E203="","",IFERROR("BTM-"&amp;LEFT(C203,3)&amp;"-"&amp;E203&amp;"-"&amp;TEXT(TODAY(),"YY")&amp;"-"&amp;TEXT(A203,"000"),"")))</f>
        <v/>
      </c>
      <c r="C203" s="26"/>
      <c r="D203" s="26"/>
      <c r="E203" s="26"/>
      <c r="F203" s="26"/>
      <c r="G203" s="26"/>
      <c r="H203" s="26"/>
      <c r="I203" s="26"/>
      <c r="J203" s="27" t="str">
        <f aca="false">IF(F203="","",IF(I203="","",F203*I203))</f>
        <v/>
      </c>
      <c r="K203" s="26"/>
      <c r="L203" s="26"/>
      <c r="M203" s="27" t="str">
        <f aca="false">IF(OR(J203="",L203="",K203=""),"",IFERROR((J203-K203-IF(O203="Adjust in Plan",N203,0))/L203,"-"))</f>
        <v/>
      </c>
      <c r="N203" s="28"/>
      <c r="O203" s="28"/>
      <c r="P203" s="27" t="n">
        <f aca="false">IFERROR(SUMIF(INSTALMENTS!$C:$C,B203,INSTALMENTS!$I:$I),0)</f>
        <v>0</v>
      </c>
      <c r="Q203" s="27" t="str">
        <f aca="false">IF(J203="","",J203-P203)</f>
        <v/>
      </c>
      <c r="R203" s="25" t="str">
        <f aca="true">IF(J203="","",IF(Q203&lt;=0,"✅ Completed",IF(IFERROR(SUMPRODUCT((INSTALMENTS!$C:$C=B203)*(INSTALMENTS!$F:$F&lt;TODAY())*(INSTALMENTS!$I:$I&lt;INSTALMENTS!$H:$H)),0)&gt;0,"🔴 Overdue","🟢 Active")))</f>
        <v/>
      </c>
      <c r="S203" s="26"/>
      <c r="T203" s="26"/>
      <c r="U203" s="26"/>
      <c r="V203" s="26"/>
      <c r="W203" s="26"/>
      <c r="X203" s="29"/>
      <c r="Y203" s="29"/>
      <c r="Z203" s="29"/>
      <c r="AA203" s="29"/>
      <c r="AB203" s="29"/>
      <c r="AC203" s="29"/>
      <c r="AD203" s="30"/>
      <c r="AE203" s="30"/>
      <c r="AF203" s="30"/>
      <c r="AG203" s="30"/>
      <c r="AH203" s="31"/>
      <c r="AI203" s="31"/>
      <c r="AJ203" s="31"/>
      <c r="AK203" s="31"/>
      <c r="AL203" s="31"/>
      <c r="AM203" s="31"/>
      <c r="AN203" s="26"/>
      <c r="AO203" s="26"/>
      <c r="AP203" s="26"/>
      <c r="AQ203" s="26"/>
      <c r="AR203" s="26"/>
      <c r="AS203" s="26"/>
      <c r="AT203" s="26"/>
      <c r="AU203" s="26"/>
      <c r="AV203" s="32"/>
    </row>
  </sheetData>
  <mergeCells count="11">
    <mergeCell ref="A1:AS1"/>
    <mergeCell ref="C2:J2"/>
    <mergeCell ref="K2:R2"/>
    <mergeCell ref="S2:W2"/>
    <mergeCell ref="X2:AD2"/>
    <mergeCell ref="AE2:AH2"/>
    <mergeCell ref="AI2:AL2"/>
    <mergeCell ref="AM2:AN2"/>
    <mergeCell ref="AO2:AQ2"/>
    <mergeCell ref="AR2:AT2"/>
    <mergeCell ref="AU2:AV2"/>
  </mergeCells>
  <dataValidations count="9">
    <dataValidation allowBlank="true" error="Invalid value" errorStyle="stop" errorTitle="Error" operator="between" prompt="Select project" promptTitle="Project" showDropDown="false" showErrorMessage="true" showInputMessage="false" sqref="C4:C203" type="list">
      <formula1>SETTINGS!$B$5:$B$9</formula1>
      <formula2>0</formula2>
    </dataValidation>
    <dataValidation allowBlank="true" error="Invalid value" errorStyle="stop" errorTitle="Error" operator="between" promptTitle="Type" showDropDown="false" showErrorMessage="true" showInputMessage="false" sqref="G4:G203" type="list">
      <formula1>"Residential,Commercial"</formula1>
      <formula2>0</formula2>
    </dataValidation>
    <dataValidation allowBlank="true" error="Invalid value" errorStyle="stop" errorTitle="Error" operator="between" promptTitle="Payment" showDropDown="false" showErrorMessage="true" showInputMessage="false" sqref="H4:H203" type="list">
      <formula1>"Cash,Installment"</formula1>
      <formula2>0</formula2>
    </dataValidation>
    <dataValidation allowBlank="true" error="Invalid value" errorStyle="stop" errorTitle="Error" operator="between" promptTitle="Bubble" showDropDown="false" showErrorMessage="true" showInputMessage="false" sqref="O4:O203" type="list">
      <formula1>"Pay After 6 Months,Adjust in Plan,Waived"</formula1>
      <formula2>0</formula2>
    </dataValidation>
    <dataValidation allowBlank="true" error="Invalid value" errorStyle="stop" errorTitle="Error" operator="between" promptTitle="Registry" showDropDown="false" showErrorMessage="true" showInputMessage="false" sqref="AO4:AO203" type="list">
      <formula1>"Done,Not Done,Late"</formula1>
      <formula2>0</formula2>
    </dataValidation>
    <dataValidation allowBlank="true" error="Invalid value" errorStyle="stop" errorTitle="Error" operator="between" promptTitle="Seller FBR" showDropDown="false" showErrorMessage="true" showInputMessage="false" sqref="AR4:AR203" type="list">
      <formula1>"Paid,Pending,Exempt,N/A"</formula1>
      <formula2>0</formula2>
    </dataValidation>
    <dataValidation allowBlank="true" error="Invalid value" errorStyle="stop" errorTitle="Error" operator="between" promptTitle="Buyer FBR" showDropDown="false" showErrorMessage="true" showInputMessage="false" sqref="AS4:AS203" type="list">
      <formula1>"Paid,Pending,Exempt,N/A"</formula1>
      <formula2>0</formula2>
    </dataValidation>
    <dataValidation allowBlank="true" error="Invalid value" errorStyle="stop" errorTitle="Error" operator="between" promptTitle="Relation" showDropDown="false" showErrorMessage="true" showInputMessage="false" sqref="Y4:Y203" type="list">
      <formula1>"Son,Daughter,Spouse,Father,Mother,Brother,Sister,Other"</formula1>
      <formula2>0</formula2>
    </dataValidation>
    <dataValidation allowBlank="true" error="Invalid value" errorStyle="stop" errorTitle="Error" operator="between" promptTitle="Salesman" showDropDown="false" showErrorMessage="true" showInputMessage="false" sqref="AM4:AM203" type="list">
      <formula1>SETTINGS!$B$13:$B$15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L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2" min="11" style="0" width="16"/>
  </cols>
  <sheetData>
    <row r="1" customFormat="false" ht="37.5" hidden="false" customHeight="true" outlineLevel="0" collapsed="false">
      <c r="A1" s="33" t="s">
        <v>117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customFormat="false" ht="15" hidden="false" customHeight="false" outlineLevel="0" collapsed="false">
      <c r="A2" s="23" t="s">
        <v>118</v>
      </c>
      <c r="B2" s="23" t="s">
        <v>119</v>
      </c>
      <c r="C2" s="3" t="s">
        <v>120</v>
      </c>
      <c r="D2" s="23" t="s">
        <v>88</v>
      </c>
      <c r="E2" s="23" t="s">
        <v>72</v>
      </c>
      <c r="F2" s="23" t="s">
        <v>74</v>
      </c>
      <c r="G2" s="23" t="s">
        <v>121</v>
      </c>
      <c r="H2" s="23" t="s">
        <v>122</v>
      </c>
      <c r="I2" s="23" t="s">
        <v>123</v>
      </c>
      <c r="J2" s="23" t="s">
        <v>124</v>
      </c>
      <c r="K2" s="23" t="s">
        <v>125</v>
      </c>
      <c r="L2" s="23" t="s">
        <v>126</v>
      </c>
    </row>
    <row r="3" customFormat="false" ht="15" hidden="false" customHeight="false" outlineLevel="0" collapsed="false">
      <c r="A3" s="24" t="n">
        <v>1</v>
      </c>
      <c r="C3" s="26"/>
      <c r="D3" s="25" t="n">
        <f aca="false">IFERROR(INDEX('DATA ENTRY'!$S:$S,MATCH(C3,'DATA ENTRY'!$B:$B,0)),"")</f>
        <v>0</v>
      </c>
      <c r="E3" s="25" t="n">
        <f aca="false">IFERROR(INDEX('DATA ENTRY'!$C:$C,MATCH(C3,'DATA ENTRY'!$B:$B,0)),"")</f>
        <v>0</v>
      </c>
      <c r="F3" s="25" t="n">
        <f aca="false">IFERROR(INDEX('DATA ENTRY'!$E:$E,MATCH(C3,'DATA ENTRY'!$B:$B,0)),"")</f>
        <v>0</v>
      </c>
      <c r="G3" s="34"/>
      <c r="H3" s="35"/>
      <c r="I3" s="35"/>
      <c r="J3" s="34"/>
      <c r="K3" s="27" t="str">
        <f aca="false">IF(H3="","",MAX(0,H3-IF(I3="",0,I3)))</f>
        <v/>
      </c>
      <c r="L3" s="25" t="str">
        <f aca="true">IF(H3="","",IF(I3&gt;=H3,"✅ Paid",IF(G3&lt;TODAY(),"🔴 Overdue",IF(G3&lt;=TODAY()+90,"🟡 Due Soon","⬜ Upcoming"))))</f>
        <v/>
      </c>
    </row>
    <row r="4" customFormat="false" ht="15" hidden="false" customHeight="false" outlineLevel="0" collapsed="false">
      <c r="A4" s="24" t="n">
        <v>2</v>
      </c>
      <c r="C4" s="26"/>
      <c r="D4" s="25" t="n">
        <f aca="false">IFERROR(INDEX('DATA ENTRY'!$S:$S,MATCH(C4,'DATA ENTRY'!$B:$B,0)),"")</f>
        <v>0</v>
      </c>
      <c r="E4" s="25" t="n">
        <f aca="false">IFERROR(INDEX('DATA ENTRY'!$C:$C,MATCH(C4,'DATA ENTRY'!$B:$B,0)),"")</f>
        <v>0</v>
      </c>
      <c r="F4" s="25" t="n">
        <f aca="false">IFERROR(INDEX('DATA ENTRY'!$E:$E,MATCH(C4,'DATA ENTRY'!$B:$B,0)),"")</f>
        <v>0</v>
      </c>
      <c r="G4" s="34"/>
      <c r="H4" s="35"/>
      <c r="I4" s="35"/>
      <c r="J4" s="34"/>
      <c r="K4" s="27" t="str">
        <f aca="false">IF(H4="","",MAX(0,H4-IF(I4="",0,I4)))</f>
        <v/>
      </c>
      <c r="L4" s="25" t="str">
        <f aca="true">IF(H4="","",IF(I4&gt;=H4,"✅ Paid",IF(G4&lt;TODAY(),"🔴 Overdue",IF(G4&lt;=TODAY()+90,"🟡 Due Soon","⬜ Upcoming"))))</f>
        <v/>
      </c>
    </row>
    <row r="5" customFormat="false" ht="15" hidden="false" customHeight="false" outlineLevel="0" collapsed="false">
      <c r="A5" s="24" t="n">
        <v>3</v>
      </c>
      <c r="C5" s="26"/>
      <c r="D5" s="25" t="n">
        <f aca="false">IFERROR(INDEX('DATA ENTRY'!$S:$S,MATCH(C5,'DATA ENTRY'!$B:$B,0)),"")</f>
        <v>0</v>
      </c>
      <c r="E5" s="25" t="n">
        <f aca="false">IFERROR(INDEX('DATA ENTRY'!$C:$C,MATCH(C5,'DATA ENTRY'!$B:$B,0)),"")</f>
        <v>0</v>
      </c>
      <c r="F5" s="25" t="n">
        <f aca="false">IFERROR(INDEX('DATA ENTRY'!$E:$E,MATCH(C5,'DATA ENTRY'!$B:$B,0)),"")</f>
        <v>0</v>
      </c>
      <c r="G5" s="34"/>
      <c r="H5" s="35"/>
      <c r="I5" s="35"/>
      <c r="J5" s="34"/>
      <c r="K5" s="27" t="str">
        <f aca="false">IF(H5="","",MAX(0,H5-IF(I5="",0,I5)))</f>
        <v/>
      </c>
      <c r="L5" s="25" t="str">
        <f aca="true">IF(H5="","",IF(I5&gt;=H5,"✅ Paid",IF(G5&lt;TODAY(),"🔴 Overdue",IF(G5&lt;=TODAY()+90,"🟡 Due Soon","⬜ Upcoming"))))</f>
        <v/>
      </c>
    </row>
    <row r="6" customFormat="false" ht="15" hidden="false" customHeight="false" outlineLevel="0" collapsed="false">
      <c r="A6" s="24" t="n">
        <v>4</v>
      </c>
      <c r="C6" s="26"/>
      <c r="D6" s="25" t="n">
        <f aca="false">IFERROR(INDEX('DATA ENTRY'!$S:$S,MATCH(C6,'DATA ENTRY'!$B:$B,0)),"")</f>
        <v>0</v>
      </c>
      <c r="E6" s="25" t="n">
        <f aca="false">IFERROR(INDEX('DATA ENTRY'!$C:$C,MATCH(C6,'DATA ENTRY'!$B:$B,0)),"")</f>
        <v>0</v>
      </c>
      <c r="F6" s="25" t="n">
        <f aca="false">IFERROR(INDEX('DATA ENTRY'!$E:$E,MATCH(C6,'DATA ENTRY'!$B:$B,0)),"")</f>
        <v>0</v>
      </c>
      <c r="G6" s="34"/>
      <c r="H6" s="35"/>
      <c r="I6" s="35"/>
      <c r="J6" s="34"/>
      <c r="K6" s="27" t="str">
        <f aca="false">IF(H6="","",MAX(0,H6-IF(I6="",0,I6)))</f>
        <v/>
      </c>
      <c r="L6" s="25" t="str">
        <f aca="true">IF(H6="","",IF(I6&gt;=H6,"✅ Paid",IF(G6&lt;TODAY(),"🔴 Overdue",IF(G6&lt;=TODAY()+90,"🟡 Due Soon","⬜ Upcoming"))))</f>
        <v/>
      </c>
    </row>
    <row r="7" customFormat="false" ht="15" hidden="false" customHeight="false" outlineLevel="0" collapsed="false">
      <c r="A7" s="24" t="n">
        <v>5</v>
      </c>
      <c r="C7" s="26"/>
      <c r="D7" s="25" t="n">
        <f aca="false">IFERROR(INDEX('DATA ENTRY'!$S:$S,MATCH(C7,'DATA ENTRY'!$B:$B,0)),"")</f>
        <v>0</v>
      </c>
      <c r="E7" s="25" t="n">
        <f aca="false">IFERROR(INDEX('DATA ENTRY'!$C:$C,MATCH(C7,'DATA ENTRY'!$B:$B,0)),"")</f>
        <v>0</v>
      </c>
      <c r="F7" s="25" t="n">
        <f aca="false">IFERROR(INDEX('DATA ENTRY'!$E:$E,MATCH(C7,'DATA ENTRY'!$B:$B,0)),"")</f>
        <v>0</v>
      </c>
      <c r="G7" s="34"/>
      <c r="H7" s="35"/>
      <c r="I7" s="35"/>
      <c r="J7" s="34"/>
      <c r="K7" s="27" t="str">
        <f aca="false">IF(H7="","",MAX(0,H7-IF(I7="",0,I7)))</f>
        <v/>
      </c>
      <c r="L7" s="25" t="str">
        <f aca="true">IF(H7="","",IF(I7&gt;=H7,"✅ Paid",IF(G7&lt;TODAY(),"🔴 Overdue",IF(G7&lt;=TODAY()+90,"🟡 Due Soon","⬜ Upcoming"))))</f>
        <v/>
      </c>
    </row>
    <row r="8" customFormat="false" ht="15" hidden="false" customHeight="false" outlineLevel="0" collapsed="false">
      <c r="A8" s="24" t="n">
        <v>6</v>
      </c>
      <c r="C8" s="26"/>
      <c r="D8" s="25" t="n">
        <f aca="false">IFERROR(INDEX('DATA ENTRY'!$S:$S,MATCH(C8,'DATA ENTRY'!$B:$B,0)),"")</f>
        <v>0</v>
      </c>
      <c r="E8" s="25" t="n">
        <f aca="false">IFERROR(INDEX('DATA ENTRY'!$C:$C,MATCH(C8,'DATA ENTRY'!$B:$B,0)),"")</f>
        <v>0</v>
      </c>
      <c r="F8" s="25" t="n">
        <f aca="false">IFERROR(INDEX('DATA ENTRY'!$E:$E,MATCH(C8,'DATA ENTRY'!$B:$B,0)),"")</f>
        <v>0</v>
      </c>
      <c r="G8" s="34"/>
      <c r="H8" s="35"/>
      <c r="I8" s="35"/>
      <c r="J8" s="34"/>
      <c r="K8" s="27" t="str">
        <f aca="false">IF(H8="","",MAX(0,H8-IF(I8="",0,I8)))</f>
        <v/>
      </c>
      <c r="L8" s="25" t="str">
        <f aca="true">IF(H8="","",IF(I8&gt;=H8,"✅ Paid",IF(G8&lt;TODAY(),"🔴 Overdue",IF(G8&lt;=TODAY()+90,"🟡 Due Soon","⬜ Upcoming"))))</f>
        <v/>
      </c>
    </row>
    <row r="9" customFormat="false" ht="15" hidden="false" customHeight="false" outlineLevel="0" collapsed="false">
      <c r="A9" s="24" t="n">
        <v>7</v>
      </c>
      <c r="C9" s="26"/>
      <c r="D9" s="25" t="n">
        <f aca="false">IFERROR(INDEX('DATA ENTRY'!$S:$S,MATCH(C9,'DATA ENTRY'!$B:$B,0)),"")</f>
        <v>0</v>
      </c>
      <c r="E9" s="25" t="n">
        <f aca="false">IFERROR(INDEX('DATA ENTRY'!$C:$C,MATCH(C9,'DATA ENTRY'!$B:$B,0)),"")</f>
        <v>0</v>
      </c>
      <c r="F9" s="25" t="n">
        <f aca="false">IFERROR(INDEX('DATA ENTRY'!$E:$E,MATCH(C9,'DATA ENTRY'!$B:$B,0)),"")</f>
        <v>0</v>
      </c>
      <c r="G9" s="34"/>
      <c r="H9" s="35"/>
      <c r="I9" s="35"/>
      <c r="J9" s="34"/>
      <c r="K9" s="27" t="str">
        <f aca="false">IF(H9="","",MAX(0,H9-IF(I9="",0,I9)))</f>
        <v/>
      </c>
      <c r="L9" s="25" t="str">
        <f aca="true">IF(H9="","",IF(I9&gt;=H9,"✅ Paid",IF(G9&lt;TODAY(),"🔴 Overdue",IF(G9&lt;=TODAY()+90,"🟡 Due Soon","⬜ Upcoming"))))</f>
        <v/>
      </c>
    </row>
    <row r="10" customFormat="false" ht="15" hidden="false" customHeight="false" outlineLevel="0" collapsed="false">
      <c r="A10" s="24" t="n">
        <v>8</v>
      </c>
      <c r="C10" s="26"/>
      <c r="D10" s="25" t="n">
        <f aca="false">IFERROR(INDEX('DATA ENTRY'!$S:$S,MATCH(C10,'DATA ENTRY'!$B:$B,0)),"")</f>
        <v>0</v>
      </c>
      <c r="E10" s="25" t="n">
        <f aca="false">IFERROR(INDEX('DATA ENTRY'!$C:$C,MATCH(C10,'DATA ENTRY'!$B:$B,0)),"")</f>
        <v>0</v>
      </c>
      <c r="F10" s="25" t="n">
        <f aca="false">IFERROR(INDEX('DATA ENTRY'!$E:$E,MATCH(C10,'DATA ENTRY'!$B:$B,0)),"")</f>
        <v>0</v>
      </c>
      <c r="G10" s="34"/>
      <c r="H10" s="35"/>
      <c r="I10" s="35"/>
      <c r="J10" s="34"/>
      <c r="K10" s="27" t="str">
        <f aca="false">IF(H10="","",MAX(0,H10-IF(I10="",0,I10)))</f>
        <v/>
      </c>
      <c r="L10" s="25" t="str">
        <f aca="true">IF(H10="","",IF(I10&gt;=H10,"✅ Paid",IF(G10&lt;TODAY(),"🔴 Overdue",IF(G10&lt;=TODAY()+90,"🟡 Due Soon","⬜ Upcoming"))))</f>
        <v/>
      </c>
    </row>
    <row r="11" customFormat="false" ht="15" hidden="false" customHeight="false" outlineLevel="0" collapsed="false">
      <c r="A11" s="24" t="n">
        <v>9</v>
      </c>
      <c r="C11" s="26"/>
      <c r="D11" s="25" t="n">
        <f aca="false">IFERROR(INDEX('DATA ENTRY'!$S:$S,MATCH(C11,'DATA ENTRY'!$B:$B,0)),"")</f>
        <v>0</v>
      </c>
      <c r="E11" s="25" t="n">
        <f aca="false">IFERROR(INDEX('DATA ENTRY'!$C:$C,MATCH(C11,'DATA ENTRY'!$B:$B,0)),"")</f>
        <v>0</v>
      </c>
      <c r="F11" s="25" t="n">
        <f aca="false">IFERROR(INDEX('DATA ENTRY'!$E:$E,MATCH(C11,'DATA ENTRY'!$B:$B,0)),"")</f>
        <v>0</v>
      </c>
      <c r="G11" s="34"/>
      <c r="H11" s="35"/>
      <c r="I11" s="35"/>
      <c r="J11" s="34"/>
      <c r="K11" s="27" t="str">
        <f aca="false">IF(H11="","",MAX(0,H11-IF(I11="",0,I11)))</f>
        <v/>
      </c>
      <c r="L11" s="25" t="str">
        <f aca="true">IF(H11="","",IF(I11&gt;=H11,"✅ Paid",IF(G11&lt;TODAY(),"🔴 Overdue",IF(G11&lt;=TODAY()+90,"🟡 Due Soon","⬜ Upcoming"))))</f>
        <v/>
      </c>
    </row>
    <row r="12" customFormat="false" ht="15" hidden="false" customHeight="false" outlineLevel="0" collapsed="false">
      <c r="A12" s="24" t="n">
        <v>10</v>
      </c>
      <c r="C12" s="26"/>
      <c r="D12" s="25" t="n">
        <f aca="false">IFERROR(INDEX('DATA ENTRY'!$S:$S,MATCH(C12,'DATA ENTRY'!$B:$B,0)),"")</f>
        <v>0</v>
      </c>
      <c r="E12" s="25" t="n">
        <f aca="false">IFERROR(INDEX('DATA ENTRY'!$C:$C,MATCH(C12,'DATA ENTRY'!$B:$B,0)),"")</f>
        <v>0</v>
      </c>
      <c r="F12" s="25" t="n">
        <f aca="false">IFERROR(INDEX('DATA ENTRY'!$E:$E,MATCH(C12,'DATA ENTRY'!$B:$B,0)),"")</f>
        <v>0</v>
      </c>
      <c r="G12" s="34"/>
      <c r="H12" s="35"/>
      <c r="I12" s="35"/>
      <c r="J12" s="34"/>
      <c r="K12" s="27" t="str">
        <f aca="false">IF(H12="","",MAX(0,H12-IF(I12="",0,I12)))</f>
        <v/>
      </c>
      <c r="L12" s="25" t="str">
        <f aca="true">IF(H12="","",IF(I12&gt;=H12,"✅ Paid",IF(G12&lt;TODAY(),"🔴 Overdue",IF(G12&lt;=TODAY()+90,"🟡 Due Soon","⬜ Upcoming"))))</f>
        <v/>
      </c>
    </row>
    <row r="13" customFormat="false" ht="15" hidden="false" customHeight="false" outlineLevel="0" collapsed="false">
      <c r="A13" s="24" t="n">
        <v>11</v>
      </c>
      <c r="C13" s="26"/>
      <c r="D13" s="25" t="n">
        <f aca="false">IFERROR(INDEX('DATA ENTRY'!$S:$S,MATCH(C13,'DATA ENTRY'!$B:$B,0)),"")</f>
        <v>0</v>
      </c>
      <c r="E13" s="25" t="n">
        <f aca="false">IFERROR(INDEX('DATA ENTRY'!$C:$C,MATCH(C13,'DATA ENTRY'!$B:$B,0)),"")</f>
        <v>0</v>
      </c>
      <c r="F13" s="25" t="n">
        <f aca="false">IFERROR(INDEX('DATA ENTRY'!$E:$E,MATCH(C13,'DATA ENTRY'!$B:$B,0)),"")</f>
        <v>0</v>
      </c>
      <c r="G13" s="34"/>
      <c r="H13" s="35"/>
      <c r="I13" s="35"/>
      <c r="J13" s="34"/>
      <c r="K13" s="27" t="str">
        <f aca="false">IF(H13="","",MAX(0,H13-IF(I13="",0,I13)))</f>
        <v/>
      </c>
      <c r="L13" s="25" t="str">
        <f aca="true">IF(H13="","",IF(I13&gt;=H13,"✅ Paid",IF(G13&lt;TODAY(),"🔴 Overdue",IF(G13&lt;=TODAY()+90,"🟡 Due Soon","⬜ Upcoming"))))</f>
        <v/>
      </c>
    </row>
    <row r="14" customFormat="false" ht="15" hidden="false" customHeight="false" outlineLevel="0" collapsed="false">
      <c r="A14" s="24" t="n">
        <v>12</v>
      </c>
      <c r="C14" s="26"/>
      <c r="D14" s="25" t="n">
        <f aca="false">IFERROR(INDEX('DATA ENTRY'!$S:$S,MATCH(C14,'DATA ENTRY'!$B:$B,0)),"")</f>
        <v>0</v>
      </c>
      <c r="E14" s="25" t="n">
        <f aca="false">IFERROR(INDEX('DATA ENTRY'!$C:$C,MATCH(C14,'DATA ENTRY'!$B:$B,0)),"")</f>
        <v>0</v>
      </c>
      <c r="F14" s="25" t="n">
        <f aca="false">IFERROR(INDEX('DATA ENTRY'!$E:$E,MATCH(C14,'DATA ENTRY'!$B:$B,0)),"")</f>
        <v>0</v>
      </c>
      <c r="G14" s="34"/>
      <c r="H14" s="35"/>
      <c r="I14" s="35"/>
      <c r="J14" s="34"/>
      <c r="K14" s="27" t="str">
        <f aca="false">IF(H14="","",MAX(0,H14-IF(I14="",0,I14)))</f>
        <v/>
      </c>
      <c r="L14" s="25" t="str">
        <f aca="true">IF(H14="","",IF(I14&gt;=H14,"✅ Paid",IF(G14&lt;TODAY(),"🔴 Overdue",IF(G14&lt;=TODAY()+90,"🟡 Due Soon","⬜ Upcoming"))))</f>
        <v/>
      </c>
    </row>
    <row r="15" customFormat="false" ht="15" hidden="false" customHeight="false" outlineLevel="0" collapsed="false">
      <c r="A15" s="24" t="n">
        <v>13</v>
      </c>
      <c r="C15" s="26"/>
      <c r="D15" s="25" t="n">
        <f aca="false">IFERROR(INDEX('DATA ENTRY'!$S:$S,MATCH(C15,'DATA ENTRY'!$B:$B,0)),"")</f>
        <v>0</v>
      </c>
      <c r="E15" s="25" t="n">
        <f aca="false">IFERROR(INDEX('DATA ENTRY'!$C:$C,MATCH(C15,'DATA ENTRY'!$B:$B,0)),"")</f>
        <v>0</v>
      </c>
      <c r="F15" s="25" t="n">
        <f aca="false">IFERROR(INDEX('DATA ENTRY'!$E:$E,MATCH(C15,'DATA ENTRY'!$B:$B,0)),"")</f>
        <v>0</v>
      </c>
      <c r="G15" s="34"/>
      <c r="H15" s="35"/>
      <c r="I15" s="35"/>
      <c r="J15" s="34"/>
      <c r="K15" s="27" t="str">
        <f aca="false">IF(H15="","",MAX(0,H15-IF(I15="",0,I15)))</f>
        <v/>
      </c>
      <c r="L15" s="25" t="str">
        <f aca="true">IF(H15="","",IF(I15&gt;=H15,"✅ Paid",IF(G15&lt;TODAY(),"🔴 Overdue",IF(G15&lt;=TODAY()+90,"🟡 Due Soon","⬜ Upcoming"))))</f>
        <v/>
      </c>
    </row>
    <row r="16" customFormat="false" ht="15" hidden="false" customHeight="false" outlineLevel="0" collapsed="false">
      <c r="A16" s="24" t="n">
        <v>14</v>
      </c>
      <c r="C16" s="26"/>
      <c r="D16" s="25" t="n">
        <f aca="false">IFERROR(INDEX('DATA ENTRY'!$S:$S,MATCH(C16,'DATA ENTRY'!$B:$B,0)),"")</f>
        <v>0</v>
      </c>
      <c r="E16" s="25" t="n">
        <f aca="false">IFERROR(INDEX('DATA ENTRY'!$C:$C,MATCH(C16,'DATA ENTRY'!$B:$B,0)),"")</f>
        <v>0</v>
      </c>
      <c r="F16" s="25" t="n">
        <f aca="false">IFERROR(INDEX('DATA ENTRY'!$E:$E,MATCH(C16,'DATA ENTRY'!$B:$B,0)),"")</f>
        <v>0</v>
      </c>
      <c r="G16" s="34"/>
      <c r="H16" s="35"/>
      <c r="I16" s="35"/>
      <c r="J16" s="34"/>
      <c r="K16" s="27" t="str">
        <f aca="false">IF(H16="","",MAX(0,H16-IF(I16="",0,I16)))</f>
        <v/>
      </c>
      <c r="L16" s="25" t="str">
        <f aca="true">IF(H16="","",IF(I16&gt;=H16,"✅ Paid",IF(G16&lt;TODAY(),"🔴 Overdue",IF(G16&lt;=TODAY()+90,"🟡 Due Soon","⬜ Upcoming"))))</f>
        <v/>
      </c>
    </row>
    <row r="17" customFormat="false" ht="15" hidden="false" customHeight="false" outlineLevel="0" collapsed="false">
      <c r="A17" s="24" t="n">
        <v>15</v>
      </c>
      <c r="C17" s="26"/>
      <c r="D17" s="25" t="n">
        <f aca="false">IFERROR(INDEX('DATA ENTRY'!$S:$S,MATCH(C17,'DATA ENTRY'!$B:$B,0)),"")</f>
        <v>0</v>
      </c>
      <c r="E17" s="25" t="n">
        <f aca="false">IFERROR(INDEX('DATA ENTRY'!$C:$C,MATCH(C17,'DATA ENTRY'!$B:$B,0)),"")</f>
        <v>0</v>
      </c>
      <c r="F17" s="25" t="n">
        <f aca="false">IFERROR(INDEX('DATA ENTRY'!$E:$E,MATCH(C17,'DATA ENTRY'!$B:$B,0)),"")</f>
        <v>0</v>
      </c>
      <c r="G17" s="34"/>
      <c r="H17" s="35"/>
      <c r="I17" s="35"/>
      <c r="J17" s="34"/>
      <c r="K17" s="27" t="str">
        <f aca="false">IF(H17="","",MAX(0,H17-IF(I17="",0,I17)))</f>
        <v/>
      </c>
      <c r="L17" s="25" t="str">
        <f aca="true">IF(H17="","",IF(I17&gt;=H17,"✅ Paid",IF(G17&lt;TODAY(),"🔴 Overdue",IF(G17&lt;=TODAY()+90,"🟡 Due Soon","⬜ Upcoming"))))</f>
        <v/>
      </c>
    </row>
    <row r="18" customFormat="false" ht="15" hidden="false" customHeight="false" outlineLevel="0" collapsed="false">
      <c r="A18" s="24" t="n">
        <v>16</v>
      </c>
      <c r="C18" s="26"/>
      <c r="D18" s="25" t="n">
        <f aca="false">IFERROR(INDEX('DATA ENTRY'!$S:$S,MATCH(C18,'DATA ENTRY'!$B:$B,0)),"")</f>
        <v>0</v>
      </c>
      <c r="E18" s="25" t="n">
        <f aca="false">IFERROR(INDEX('DATA ENTRY'!$C:$C,MATCH(C18,'DATA ENTRY'!$B:$B,0)),"")</f>
        <v>0</v>
      </c>
      <c r="F18" s="25" t="n">
        <f aca="false">IFERROR(INDEX('DATA ENTRY'!$E:$E,MATCH(C18,'DATA ENTRY'!$B:$B,0)),"")</f>
        <v>0</v>
      </c>
      <c r="G18" s="34"/>
      <c r="H18" s="35"/>
      <c r="I18" s="35"/>
      <c r="J18" s="34"/>
      <c r="K18" s="27" t="str">
        <f aca="false">IF(H18="","",MAX(0,H18-IF(I18="",0,I18)))</f>
        <v/>
      </c>
      <c r="L18" s="25" t="str">
        <f aca="true">IF(H18="","",IF(I18&gt;=H18,"✅ Paid",IF(G18&lt;TODAY(),"🔴 Overdue",IF(G18&lt;=TODAY()+90,"🟡 Due Soon","⬜ Upcoming"))))</f>
        <v/>
      </c>
    </row>
    <row r="19" customFormat="false" ht="15" hidden="false" customHeight="false" outlineLevel="0" collapsed="false">
      <c r="A19" s="24" t="n">
        <v>17</v>
      </c>
      <c r="C19" s="26"/>
      <c r="D19" s="25" t="n">
        <f aca="false">IFERROR(INDEX('DATA ENTRY'!$S:$S,MATCH(C19,'DATA ENTRY'!$B:$B,0)),"")</f>
        <v>0</v>
      </c>
      <c r="E19" s="25" t="n">
        <f aca="false">IFERROR(INDEX('DATA ENTRY'!$C:$C,MATCH(C19,'DATA ENTRY'!$B:$B,0)),"")</f>
        <v>0</v>
      </c>
      <c r="F19" s="25" t="n">
        <f aca="false">IFERROR(INDEX('DATA ENTRY'!$E:$E,MATCH(C19,'DATA ENTRY'!$B:$B,0)),"")</f>
        <v>0</v>
      </c>
      <c r="G19" s="34"/>
      <c r="H19" s="35"/>
      <c r="I19" s="35"/>
      <c r="J19" s="34"/>
      <c r="K19" s="27" t="str">
        <f aca="false">IF(H19="","",MAX(0,H19-IF(I19="",0,I19)))</f>
        <v/>
      </c>
      <c r="L19" s="25" t="str">
        <f aca="true">IF(H19="","",IF(I19&gt;=H19,"✅ Paid",IF(G19&lt;TODAY(),"🔴 Overdue",IF(G19&lt;=TODAY()+90,"🟡 Due Soon","⬜ Upcoming"))))</f>
        <v/>
      </c>
    </row>
    <row r="20" customFormat="false" ht="15" hidden="false" customHeight="false" outlineLevel="0" collapsed="false">
      <c r="A20" s="24" t="n">
        <v>18</v>
      </c>
      <c r="C20" s="26"/>
      <c r="D20" s="25" t="n">
        <f aca="false">IFERROR(INDEX('DATA ENTRY'!$S:$S,MATCH(C20,'DATA ENTRY'!$B:$B,0)),"")</f>
        <v>0</v>
      </c>
      <c r="E20" s="25" t="n">
        <f aca="false">IFERROR(INDEX('DATA ENTRY'!$C:$C,MATCH(C20,'DATA ENTRY'!$B:$B,0)),"")</f>
        <v>0</v>
      </c>
      <c r="F20" s="25" t="n">
        <f aca="false">IFERROR(INDEX('DATA ENTRY'!$E:$E,MATCH(C20,'DATA ENTRY'!$B:$B,0)),"")</f>
        <v>0</v>
      </c>
      <c r="G20" s="34"/>
      <c r="H20" s="35"/>
      <c r="I20" s="35"/>
      <c r="J20" s="34"/>
      <c r="K20" s="27" t="str">
        <f aca="false">IF(H20="","",MAX(0,H20-IF(I20="",0,I20)))</f>
        <v/>
      </c>
      <c r="L20" s="25" t="str">
        <f aca="true">IF(H20="","",IF(I20&gt;=H20,"✅ Paid",IF(G20&lt;TODAY(),"🔴 Overdue",IF(G20&lt;=TODAY()+90,"🟡 Due Soon","⬜ Upcoming"))))</f>
        <v/>
      </c>
    </row>
    <row r="21" customFormat="false" ht="15" hidden="false" customHeight="false" outlineLevel="0" collapsed="false">
      <c r="A21" s="24" t="n">
        <v>19</v>
      </c>
      <c r="C21" s="26"/>
      <c r="D21" s="25" t="n">
        <f aca="false">IFERROR(INDEX('DATA ENTRY'!$S:$S,MATCH(C21,'DATA ENTRY'!$B:$B,0)),"")</f>
        <v>0</v>
      </c>
      <c r="E21" s="25" t="n">
        <f aca="false">IFERROR(INDEX('DATA ENTRY'!$C:$C,MATCH(C21,'DATA ENTRY'!$B:$B,0)),"")</f>
        <v>0</v>
      </c>
      <c r="F21" s="25" t="n">
        <f aca="false">IFERROR(INDEX('DATA ENTRY'!$E:$E,MATCH(C21,'DATA ENTRY'!$B:$B,0)),"")</f>
        <v>0</v>
      </c>
      <c r="G21" s="34"/>
      <c r="H21" s="35"/>
      <c r="I21" s="35"/>
      <c r="J21" s="34"/>
      <c r="K21" s="27" t="str">
        <f aca="false">IF(H21="","",MAX(0,H21-IF(I21="",0,I21)))</f>
        <v/>
      </c>
      <c r="L21" s="25" t="str">
        <f aca="true">IF(H21="","",IF(I21&gt;=H21,"✅ Paid",IF(G21&lt;TODAY(),"🔴 Overdue",IF(G21&lt;=TODAY()+90,"🟡 Due Soon","⬜ Upcoming"))))</f>
        <v/>
      </c>
    </row>
    <row r="22" customFormat="false" ht="15" hidden="false" customHeight="false" outlineLevel="0" collapsed="false">
      <c r="A22" s="24" t="n">
        <v>20</v>
      </c>
      <c r="C22" s="26"/>
      <c r="D22" s="25" t="n">
        <f aca="false">IFERROR(INDEX('DATA ENTRY'!$S:$S,MATCH(C22,'DATA ENTRY'!$B:$B,0)),"")</f>
        <v>0</v>
      </c>
      <c r="E22" s="25" t="n">
        <f aca="false">IFERROR(INDEX('DATA ENTRY'!$C:$C,MATCH(C22,'DATA ENTRY'!$B:$B,0)),"")</f>
        <v>0</v>
      </c>
      <c r="F22" s="25" t="n">
        <f aca="false">IFERROR(INDEX('DATA ENTRY'!$E:$E,MATCH(C22,'DATA ENTRY'!$B:$B,0)),"")</f>
        <v>0</v>
      </c>
      <c r="G22" s="34"/>
      <c r="H22" s="35"/>
      <c r="I22" s="35"/>
      <c r="J22" s="34"/>
      <c r="K22" s="27" t="str">
        <f aca="false">IF(H22="","",MAX(0,H22-IF(I22="",0,I22)))</f>
        <v/>
      </c>
      <c r="L22" s="25" t="str">
        <f aca="true">IF(H22="","",IF(I22&gt;=H22,"✅ Paid",IF(G22&lt;TODAY(),"🔴 Overdue",IF(G22&lt;=TODAY()+90,"🟡 Due Soon","⬜ Upcoming"))))</f>
        <v/>
      </c>
    </row>
    <row r="23" customFormat="false" ht="15" hidden="false" customHeight="false" outlineLevel="0" collapsed="false">
      <c r="A23" s="24" t="n">
        <v>21</v>
      </c>
      <c r="C23" s="26"/>
      <c r="D23" s="25" t="n">
        <f aca="false">IFERROR(INDEX('DATA ENTRY'!$S:$S,MATCH(C23,'DATA ENTRY'!$B:$B,0)),"")</f>
        <v>0</v>
      </c>
      <c r="E23" s="25" t="n">
        <f aca="false">IFERROR(INDEX('DATA ENTRY'!$C:$C,MATCH(C23,'DATA ENTRY'!$B:$B,0)),"")</f>
        <v>0</v>
      </c>
      <c r="F23" s="25" t="n">
        <f aca="false">IFERROR(INDEX('DATA ENTRY'!$E:$E,MATCH(C23,'DATA ENTRY'!$B:$B,0)),"")</f>
        <v>0</v>
      </c>
      <c r="G23" s="34"/>
      <c r="H23" s="35"/>
      <c r="I23" s="35"/>
      <c r="J23" s="34"/>
      <c r="K23" s="27" t="str">
        <f aca="false">IF(H23="","",MAX(0,H23-IF(I23="",0,I23)))</f>
        <v/>
      </c>
      <c r="L23" s="25" t="str">
        <f aca="true">IF(H23="","",IF(I23&gt;=H23,"✅ Paid",IF(G23&lt;TODAY(),"🔴 Overdue",IF(G23&lt;=TODAY()+90,"🟡 Due Soon","⬜ Upcoming"))))</f>
        <v/>
      </c>
    </row>
    <row r="24" customFormat="false" ht="15" hidden="false" customHeight="false" outlineLevel="0" collapsed="false">
      <c r="A24" s="24" t="n">
        <v>22</v>
      </c>
      <c r="C24" s="26"/>
      <c r="D24" s="25" t="n">
        <f aca="false">IFERROR(INDEX('DATA ENTRY'!$S:$S,MATCH(C24,'DATA ENTRY'!$B:$B,0)),"")</f>
        <v>0</v>
      </c>
      <c r="E24" s="25" t="n">
        <f aca="false">IFERROR(INDEX('DATA ENTRY'!$C:$C,MATCH(C24,'DATA ENTRY'!$B:$B,0)),"")</f>
        <v>0</v>
      </c>
      <c r="F24" s="25" t="n">
        <f aca="false">IFERROR(INDEX('DATA ENTRY'!$E:$E,MATCH(C24,'DATA ENTRY'!$B:$B,0)),"")</f>
        <v>0</v>
      </c>
      <c r="G24" s="34"/>
      <c r="H24" s="35"/>
      <c r="I24" s="35"/>
      <c r="J24" s="34"/>
      <c r="K24" s="27" t="str">
        <f aca="false">IF(H24="","",MAX(0,H24-IF(I24="",0,I24)))</f>
        <v/>
      </c>
      <c r="L24" s="25" t="str">
        <f aca="true">IF(H24="","",IF(I24&gt;=H24,"✅ Paid",IF(G24&lt;TODAY(),"🔴 Overdue",IF(G24&lt;=TODAY()+90,"🟡 Due Soon","⬜ Upcoming"))))</f>
        <v/>
      </c>
    </row>
    <row r="25" customFormat="false" ht="15" hidden="false" customHeight="false" outlineLevel="0" collapsed="false">
      <c r="A25" s="24" t="n">
        <v>23</v>
      </c>
      <c r="C25" s="26"/>
      <c r="D25" s="25" t="n">
        <f aca="false">IFERROR(INDEX('DATA ENTRY'!$S:$S,MATCH(C25,'DATA ENTRY'!$B:$B,0)),"")</f>
        <v>0</v>
      </c>
      <c r="E25" s="25" t="n">
        <f aca="false">IFERROR(INDEX('DATA ENTRY'!$C:$C,MATCH(C25,'DATA ENTRY'!$B:$B,0)),"")</f>
        <v>0</v>
      </c>
      <c r="F25" s="25" t="n">
        <f aca="false">IFERROR(INDEX('DATA ENTRY'!$E:$E,MATCH(C25,'DATA ENTRY'!$B:$B,0)),"")</f>
        <v>0</v>
      </c>
      <c r="G25" s="34"/>
      <c r="H25" s="35"/>
      <c r="I25" s="35"/>
      <c r="J25" s="34"/>
      <c r="K25" s="27" t="str">
        <f aca="false">IF(H25="","",MAX(0,H25-IF(I25="",0,I25)))</f>
        <v/>
      </c>
      <c r="L25" s="25" t="str">
        <f aca="true">IF(H25="","",IF(I25&gt;=H25,"✅ Paid",IF(G25&lt;TODAY(),"🔴 Overdue",IF(G25&lt;=TODAY()+90,"🟡 Due Soon","⬜ Upcoming"))))</f>
        <v/>
      </c>
    </row>
    <row r="26" customFormat="false" ht="15" hidden="false" customHeight="false" outlineLevel="0" collapsed="false">
      <c r="A26" s="24" t="n">
        <v>24</v>
      </c>
      <c r="C26" s="26"/>
      <c r="D26" s="25" t="n">
        <f aca="false">IFERROR(INDEX('DATA ENTRY'!$S:$S,MATCH(C26,'DATA ENTRY'!$B:$B,0)),"")</f>
        <v>0</v>
      </c>
      <c r="E26" s="25" t="n">
        <f aca="false">IFERROR(INDEX('DATA ENTRY'!$C:$C,MATCH(C26,'DATA ENTRY'!$B:$B,0)),"")</f>
        <v>0</v>
      </c>
      <c r="F26" s="25" t="n">
        <f aca="false">IFERROR(INDEX('DATA ENTRY'!$E:$E,MATCH(C26,'DATA ENTRY'!$B:$B,0)),"")</f>
        <v>0</v>
      </c>
      <c r="G26" s="34"/>
      <c r="H26" s="35"/>
      <c r="I26" s="35"/>
      <c r="J26" s="34"/>
      <c r="K26" s="27" t="str">
        <f aca="false">IF(H26="","",MAX(0,H26-IF(I26="",0,I26)))</f>
        <v/>
      </c>
      <c r="L26" s="25" t="str">
        <f aca="true">IF(H26="","",IF(I26&gt;=H26,"✅ Paid",IF(G26&lt;TODAY(),"🔴 Overdue",IF(G26&lt;=TODAY()+90,"🟡 Due Soon","⬜ Upcoming"))))</f>
        <v/>
      </c>
    </row>
    <row r="27" customFormat="false" ht="15" hidden="false" customHeight="false" outlineLevel="0" collapsed="false">
      <c r="A27" s="24" t="n">
        <v>25</v>
      </c>
      <c r="C27" s="26"/>
      <c r="D27" s="25" t="n">
        <f aca="false">IFERROR(INDEX('DATA ENTRY'!$S:$S,MATCH(C27,'DATA ENTRY'!$B:$B,0)),"")</f>
        <v>0</v>
      </c>
      <c r="E27" s="25" t="n">
        <f aca="false">IFERROR(INDEX('DATA ENTRY'!$C:$C,MATCH(C27,'DATA ENTRY'!$B:$B,0)),"")</f>
        <v>0</v>
      </c>
      <c r="F27" s="25" t="n">
        <f aca="false">IFERROR(INDEX('DATA ENTRY'!$E:$E,MATCH(C27,'DATA ENTRY'!$B:$B,0)),"")</f>
        <v>0</v>
      </c>
      <c r="G27" s="34"/>
      <c r="H27" s="35"/>
      <c r="I27" s="35"/>
      <c r="J27" s="34"/>
      <c r="K27" s="27" t="str">
        <f aca="false">IF(H27="","",MAX(0,H27-IF(I27="",0,I27)))</f>
        <v/>
      </c>
      <c r="L27" s="25" t="str">
        <f aca="true">IF(H27="","",IF(I27&gt;=H27,"✅ Paid",IF(G27&lt;TODAY(),"🔴 Overdue",IF(G27&lt;=TODAY()+90,"🟡 Due Soon","⬜ Upcoming"))))</f>
        <v/>
      </c>
    </row>
    <row r="28" customFormat="false" ht="15" hidden="false" customHeight="false" outlineLevel="0" collapsed="false">
      <c r="A28" s="24" t="n">
        <v>26</v>
      </c>
      <c r="C28" s="26"/>
      <c r="D28" s="25" t="n">
        <f aca="false">IFERROR(INDEX('DATA ENTRY'!$S:$S,MATCH(C28,'DATA ENTRY'!$B:$B,0)),"")</f>
        <v>0</v>
      </c>
      <c r="E28" s="25" t="n">
        <f aca="false">IFERROR(INDEX('DATA ENTRY'!$C:$C,MATCH(C28,'DATA ENTRY'!$B:$B,0)),"")</f>
        <v>0</v>
      </c>
      <c r="F28" s="25" t="n">
        <f aca="false">IFERROR(INDEX('DATA ENTRY'!$E:$E,MATCH(C28,'DATA ENTRY'!$B:$B,0)),"")</f>
        <v>0</v>
      </c>
      <c r="G28" s="34"/>
      <c r="H28" s="35"/>
      <c r="I28" s="35"/>
      <c r="J28" s="34"/>
      <c r="K28" s="27" t="str">
        <f aca="false">IF(H28="","",MAX(0,H28-IF(I28="",0,I28)))</f>
        <v/>
      </c>
      <c r="L28" s="25" t="str">
        <f aca="true">IF(H28="","",IF(I28&gt;=H28,"✅ Paid",IF(G28&lt;TODAY(),"🔴 Overdue",IF(G28&lt;=TODAY()+90,"🟡 Due Soon","⬜ Upcoming"))))</f>
        <v/>
      </c>
    </row>
    <row r="29" customFormat="false" ht="15" hidden="false" customHeight="false" outlineLevel="0" collapsed="false">
      <c r="A29" s="24" t="n">
        <v>27</v>
      </c>
      <c r="C29" s="26"/>
      <c r="D29" s="25" t="n">
        <f aca="false">IFERROR(INDEX('DATA ENTRY'!$S:$S,MATCH(C29,'DATA ENTRY'!$B:$B,0)),"")</f>
        <v>0</v>
      </c>
      <c r="E29" s="25" t="n">
        <f aca="false">IFERROR(INDEX('DATA ENTRY'!$C:$C,MATCH(C29,'DATA ENTRY'!$B:$B,0)),"")</f>
        <v>0</v>
      </c>
      <c r="F29" s="25" t="n">
        <f aca="false">IFERROR(INDEX('DATA ENTRY'!$E:$E,MATCH(C29,'DATA ENTRY'!$B:$B,0)),"")</f>
        <v>0</v>
      </c>
      <c r="G29" s="34"/>
      <c r="H29" s="35"/>
      <c r="I29" s="35"/>
      <c r="J29" s="34"/>
      <c r="K29" s="27" t="str">
        <f aca="false">IF(H29="","",MAX(0,H29-IF(I29="",0,I29)))</f>
        <v/>
      </c>
      <c r="L29" s="25" t="str">
        <f aca="true">IF(H29="","",IF(I29&gt;=H29,"✅ Paid",IF(G29&lt;TODAY(),"🔴 Overdue",IF(G29&lt;=TODAY()+90,"🟡 Due Soon","⬜ Upcoming"))))</f>
        <v/>
      </c>
    </row>
    <row r="30" customFormat="false" ht="15" hidden="false" customHeight="false" outlineLevel="0" collapsed="false">
      <c r="A30" s="24" t="n">
        <v>28</v>
      </c>
      <c r="C30" s="26"/>
      <c r="D30" s="25" t="n">
        <f aca="false">IFERROR(INDEX('DATA ENTRY'!$S:$S,MATCH(C30,'DATA ENTRY'!$B:$B,0)),"")</f>
        <v>0</v>
      </c>
      <c r="E30" s="25" t="n">
        <f aca="false">IFERROR(INDEX('DATA ENTRY'!$C:$C,MATCH(C30,'DATA ENTRY'!$B:$B,0)),"")</f>
        <v>0</v>
      </c>
      <c r="F30" s="25" t="n">
        <f aca="false">IFERROR(INDEX('DATA ENTRY'!$E:$E,MATCH(C30,'DATA ENTRY'!$B:$B,0)),"")</f>
        <v>0</v>
      </c>
      <c r="G30" s="34"/>
      <c r="H30" s="35"/>
      <c r="I30" s="35"/>
      <c r="J30" s="34"/>
      <c r="K30" s="27" t="str">
        <f aca="false">IF(H30="","",MAX(0,H30-IF(I30="",0,I30)))</f>
        <v/>
      </c>
      <c r="L30" s="25" t="str">
        <f aca="true">IF(H30="","",IF(I30&gt;=H30,"✅ Paid",IF(G30&lt;TODAY(),"🔴 Overdue",IF(G30&lt;=TODAY()+90,"🟡 Due Soon","⬜ Upcoming"))))</f>
        <v/>
      </c>
    </row>
    <row r="31" customFormat="false" ht="15" hidden="false" customHeight="false" outlineLevel="0" collapsed="false">
      <c r="A31" s="24" t="n">
        <v>29</v>
      </c>
      <c r="C31" s="26"/>
      <c r="D31" s="25" t="n">
        <f aca="false">IFERROR(INDEX('DATA ENTRY'!$S:$S,MATCH(C31,'DATA ENTRY'!$B:$B,0)),"")</f>
        <v>0</v>
      </c>
      <c r="E31" s="25" t="n">
        <f aca="false">IFERROR(INDEX('DATA ENTRY'!$C:$C,MATCH(C31,'DATA ENTRY'!$B:$B,0)),"")</f>
        <v>0</v>
      </c>
      <c r="F31" s="25" t="n">
        <f aca="false">IFERROR(INDEX('DATA ENTRY'!$E:$E,MATCH(C31,'DATA ENTRY'!$B:$B,0)),"")</f>
        <v>0</v>
      </c>
      <c r="G31" s="34"/>
      <c r="H31" s="35"/>
      <c r="I31" s="35"/>
      <c r="J31" s="34"/>
      <c r="K31" s="27" t="str">
        <f aca="false">IF(H31="","",MAX(0,H31-IF(I31="",0,I31)))</f>
        <v/>
      </c>
      <c r="L31" s="25" t="str">
        <f aca="true">IF(H31="","",IF(I31&gt;=H31,"✅ Paid",IF(G31&lt;TODAY(),"🔴 Overdue",IF(G31&lt;=TODAY()+90,"🟡 Due Soon","⬜ Upcoming"))))</f>
        <v/>
      </c>
    </row>
    <row r="32" customFormat="false" ht="15" hidden="false" customHeight="false" outlineLevel="0" collapsed="false">
      <c r="A32" s="24" t="n">
        <v>30</v>
      </c>
      <c r="C32" s="26"/>
      <c r="D32" s="25" t="n">
        <f aca="false">IFERROR(INDEX('DATA ENTRY'!$S:$S,MATCH(C32,'DATA ENTRY'!$B:$B,0)),"")</f>
        <v>0</v>
      </c>
      <c r="E32" s="25" t="n">
        <f aca="false">IFERROR(INDEX('DATA ENTRY'!$C:$C,MATCH(C32,'DATA ENTRY'!$B:$B,0)),"")</f>
        <v>0</v>
      </c>
      <c r="F32" s="25" t="n">
        <f aca="false">IFERROR(INDEX('DATA ENTRY'!$E:$E,MATCH(C32,'DATA ENTRY'!$B:$B,0)),"")</f>
        <v>0</v>
      </c>
      <c r="G32" s="34"/>
      <c r="H32" s="35"/>
      <c r="I32" s="35"/>
      <c r="J32" s="34"/>
      <c r="K32" s="27" t="str">
        <f aca="false">IF(H32="","",MAX(0,H32-IF(I32="",0,I32)))</f>
        <v/>
      </c>
      <c r="L32" s="25" t="str">
        <f aca="true">IF(H32="","",IF(I32&gt;=H32,"✅ Paid",IF(G32&lt;TODAY(),"🔴 Overdue",IF(G32&lt;=TODAY()+90,"🟡 Due Soon","⬜ Upcoming"))))</f>
        <v/>
      </c>
    </row>
    <row r="33" customFormat="false" ht="15" hidden="false" customHeight="false" outlineLevel="0" collapsed="false">
      <c r="A33" s="24" t="n">
        <v>31</v>
      </c>
      <c r="C33" s="26"/>
      <c r="D33" s="25" t="n">
        <f aca="false">IFERROR(INDEX('DATA ENTRY'!$S:$S,MATCH(C33,'DATA ENTRY'!$B:$B,0)),"")</f>
        <v>0</v>
      </c>
      <c r="E33" s="25" t="n">
        <f aca="false">IFERROR(INDEX('DATA ENTRY'!$C:$C,MATCH(C33,'DATA ENTRY'!$B:$B,0)),"")</f>
        <v>0</v>
      </c>
      <c r="F33" s="25" t="n">
        <f aca="false">IFERROR(INDEX('DATA ENTRY'!$E:$E,MATCH(C33,'DATA ENTRY'!$B:$B,0)),"")</f>
        <v>0</v>
      </c>
      <c r="G33" s="34"/>
      <c r="H33" s="35"/>
      <c r="I33" s="35"/>
      <c r="J33" s="34"/>
      <c r="K33" s="27" t="str">
        <f aca="false">IF(H33="","",MAX(0,H33-IF(I33="",0,I33)))</f>
        <v/>
      </c>
      <c r="L33" s="25" t="str">
        <f aca="true">IF(H33="","",IF(I33&gt;=H33,"✅ Paid",IF(G33&lt;TODAY(),"🔴 Overdue",IF(G33&lt;=TODAY()+90,"🟡 Due Soon","⬜ Upcoming"))))</f>
        <v/>
      </c>
    </row>
    <row r="34" customFormat="false" ht="15" hidden="false" customHeight="false" outlineLevel="0" collapsed="false">
      <c r="A34" s="24" t="n">
        <v>32</v>
      </c>
      <c r="C34" s="26"/>
      <c r="D34" s="25" t="n">
        <f aca="false">IFERROR(INDEX('DATA ENTRY'!$S:$S,MATCH(C34,'DATA ENTRY'!$B:$B,0)),"")</f>
        <v>0</v>
      </c>
      <c r="E34" s="25" t="n">
        <f aca="false">IFERROR(INDEX('DATA ENTRY'!$C:$C,MATCH(C34,'DATA ENTRY'!$B:$B,0)),"")</f>
        <v>0</v>
      </c>
      <c r="F34" s="25" t="n">
        <f aca="false">IFERROR(INDEX('DATA ENTRY'!$E:$E,MATCH(C34,'DATA ENTRY'!$B:$B,0)),"")</f>
        <v>0</v>
      </c>
      <c r="G34" s="34"/>
      <c r="H34" s="35"/>
      <c r="I34" s="35"/>
      <c r="J34" s="34"/>
      <c r="K34" s="27" t="str">
        <f aca="false">IF(H34="","",MAX(0,H34-IF(I34="",0,I34)))</f>
        <v/>
      </c>
      <c r="L34" s="25" t="str">
        <f aca="true">IF(H34="","",IF(I34&gt;=H34,"✅ Paid",IF(G34&lt;TODAY(),"🔴 Overdue",IF(G34&lt;=TODAY()+90,"🟡 Due Soon","⬜ Upcoming"))))</f>
        <v/>
      </c>
    </row>
    <row r="35" customFormat="false" ht="15" hidden="false" customHeight="false" outlineLevel="0" collapsed="false">
      <c r="A35" s="24" t="n">
        <v>33</v>
      </c>
      <c r="C35" s="26"/>
      <c r="D35" s="25" t="n">
        <f aca="false">IFERROR(INDEX('DATA ENTRY'!$S:$S,MATCH(C35,'DATA ENTRY'!$B:$B,0)),"")</f>
        <v>0</v>
      </c>
      <c r="E35" s="25" t="n">
        <f aca="false">IFERROR(INDEX('DATA ENTRY'!$C:$C,MATCH(C35,'DATA ENTRY'!$B:$B,0)),"")</f>
        <v>0</v>
      </c>
      <c r="F35" s="25" t="n">
        <f aca="false">IFERROR(INDEX('DATA ENTRY'!$E:$E,MATCH(C35,'DATA ENTRY'!$B:$B,0)),"")</f>
        <v>0</v>
      </c>
      <c r="G35" s="34"/>
      <c r="H35" s="35"/>
      <c r="I35" s="35"/>
      <c r="J35" s="34"/>
      <c r="K35" s="27" t="str">
        <f aca="false">IF(H35="","",MAX(0,H35-IF(I35="",0,I35)))</f>
        <v/>
      </c>
      <c r="L35" s="25" t="str">
        <f aca="true">IF(H35="","",IF(I35&gt;=H35,"✅ Paid",IF(G35&lt;TODAY(),"🔴 Overdue",IF(G35&lt;=TODAY()+90,"🟡 Due Soon","⬜ Upcoming"))))</f>
        <v/>
      </c>
    </row>
    <row r="36" customFormat="false" ht="15" hidden="false" customHeight="false" outlineLevel="0" collapsed="false">
      <c r="A36" s="24" t="n">
        <v>34</v>
      </c>
      <c r="C36" s="26"/>
      <c r="D36" s="25" t="n">
        <f aca="false">IFERROR(INDEX('DATA ENTRY'!$S:$S,MATCH(C36,'DATA ENTRY'!$B:$B,0)),"")</f>
        <v>0</v>
      </c>
      <c r="E36" s="25" t="n">
        <f aca="false">IFERROR(INDEX('DATA ENTRY'!$C:$C,MATCH(C36,'DATA ENTRY'!$B:$B,0)),"")</f>
        <v>0</v>
      </c>
      <c r="F36" s="25" t="n">
        <f aca="false">IFERROR(INDEX('DATA ENTRY'!$E:$E,MATCH(C36,'DATA ENTRY'!$B:$B,0)),"")</f>
        <v>0</v>
      </c>
      <c r="G36" s="34"/>
      <c r="H36" s="35"/>
      <c r="I36" s="35"/>
      <c r="J36" s="34"/>
      <c r="K36" s="27" t="str">
        <f aca="false">IF(H36="","",MAX(0,H36-IF(I36="",0,I36)))</f>
        <v/>
      </c>
      <c r="L36" s="25" t="str">
        <f aca="true">IF(H36="","",IF(I36&gt;=H36,"✅ Paid",IF(G36&lt;TODAY(),"🔴 Overdue",IF(G36&lt;=TODAY()+90,"🟡 Due Soon","⬜ Upcoming"))))</f>
        <v/>
      </c>
    </row>
    <row r="37" customFormat="false" ht="15" hidden="false" customHeight="false" outlineLevel="0" collapsed="false">
      <c r="A37" s="24" t="n">
        <v>35</v>
      </c>
      <c r="C37" s="26"/>
      <c r="D37" s="25" t="n">
        <f aca="false">IFERROR(INDEX('DATA ENTRY'!$S:$S,MATCH(C37,'DATA ENTRY'!$B:$B,0)),"")</f>
        <v>0</v>
      </c>
      <c r="E37" s="25" t="n">
        <f aca="false">IFERROR(INDEX('DATA ENTRY'!$C:$C,MATCH(C37,'DATA ENTRY'!$B:$B,0)),"")</f>
        <v>0</v>
      </c>
      <c r="F37" s="25" t="n">
        <f aca="false">IFERROR(INDEX('DATA ENTRY'!$E:$E,MATCH(C37,'DATA ENTRY'!$B:$B,0)),"")</f>
        <v>0</v>
      </c>
      <c r="G37" s="34"/>
      <c r="H37" s="35"/>
      <c r="I37" s="35"/>
      <c r="J37" s="34"/>
      <c r="K37" s="27" t="str">
        <f aca="false">IF(H37="","",MAX(0,H37-IF(I37="",0,I37)))</f>
        <v/>
      </c>
      <c r="L37" s="25" t="str">
        <f aca="true">IF(H37="","",IF(I37&gt;=H37,"✅ Paid",IF(G37&lt;TODAY(),"🔴 Overdue",IF(G37&lt;=TODAY()+90,"🟡 Due Soon","⬜ Upcoming"))))</f>
        <v/>
      </c>
    </row>
    <row r="38" customFormat="false" ht="15" hidden="false" customHeight="false" outlineLevel="0" collapsed="false">
      <c r="A38" s="24" t="n">
        <v>36</v>
      </c>
      <c r="C38" s="26"/>
      <c r="D38" s="25" t="n">
        <f aca="false">IFERROR(INDEX('DATA ENTRY'!$S:$S,MATCH(C38,'DATA ENTRY'!$B:$B,0)),"")</f>
        <v>0</v>
      </c>
      <c r="E38" s="25" t="n">
        <f aca="false">IFERROR(INDEX('DATA ENTRY'!$C:$C,MATCH(C38,'DATA ENTRY'!$B:$B,0)),"")</f>
        <v>0</v>
      </c>
      <c r="F38" s="25" t="n">
        <f aca="false">IFERROR(INDEX('DATA ENTRY'!$E:$E,MATCH(C38,'DATA ENTRY'!$B:$B,0)),"")</f>
        <v>0</v>
      </c>
      <c r="G38" s="34"/>
      <c r="H38" s="35"/>
      <c r="I38" s="35"/>
      <c r="J38" s="34"/>
      <c r="K38" s="27" t="str">
        <f aca="false">IF(H38="","",MAX(0,H38-IF(I38="",0,I38)))</f>
        <v/>
      </c>
      <c r="L38" s="25" t="str">
        <f aca="true">IF(H38="","",IF(I38&gt;=H38,"✅ Paid",IF(G38&lt;TODAY(),"🔴 Overdue",IF(G38&lt;=TODAY()+90,"🟡 Due Soon","⬜ Upcoming"))))</f>
        <v/>
      </c>
    </row>
    <row r="39" customFormat="false" ht="15" hidden="false" customHeight="false" outlineLevel="0" collapsed="false">
      <c r="A39" s="24" t="n">
        <v>37</v>
      </c>
      <c r="C39" s="26"/>
      <c r="D39" s="25" t="n">
        <f aca="false">IFERROR(INDEX('DATA ENTRY'!$S:$S,MATCH(C39,'DATA ENTRY'!$B:$B,0)),"")</f>
        <v>0</v>
      </c>
      <c r="E39" s="25" t="n">
        <f aca="false">IFERROR(INDEX('DATA ENTRY'!$C:$C,MATCH(C39,'DATA ENTRY'!$B:$B,0)),"")</f>
        <v>0</v>
      </c>
      <c r="F39" s="25" t="n">
        <f aca="false">IFERROR(INDEX('DATA ENTRY'!$E:$E,MATCH(C39,'DATA ENTRY'!$B:$B,0)),"")</f>
        <v>0</v>
      </c>
      <c r="G39" s="34"/>
      <c r="H39" s="35"/>
      <c r="I39" s="35"/>
      <c r="J39" s="34"/>
      <c r="K39" s="27" t="str">
        <f aca="false">IF(H39="","",MAX(0,H39-IF(I39="",0,I39)))</f>
        <v/>
      </c>
      <c r="L39" s="25" t="str">
        <f aca="true">IF(H39="","",IF(I39&gt;=H39,"✅ Paid",IF(G39&lt;TODAY(),"🔴 Overdue",IF(G39&lt;=TODAY()+90,"🟡 Due Soon","⬜ Upcoming"))))</f>
        <v/>
      </c>
    </row>
    <row r="40" customFormat="false" ht="15" hidden="false" customHeight="false" outlineLevel="0" collapsed="false">
      <c r="A40" s="24" t="n">
        <v>38</v>
      </c>
      <c r="C40" s="26"/>
      <c r="D40" s="25" t="n">
        <f aca="false">IFERROR(INDEX('DATA ENTRY'!$S:$S,MATCH(C40,'DATA ENTRY'!$B:$B,0)),"")</f>
        <v>0</v>
      </c>
      <c r="E40" s="25" t="n">
        <f aca="false">IFERROR(INDEX('DATA ENTRY'!$C:$C,MATCH(C40,'DATA ENTRY'!$B:$B,0)),"")</f>
        <v>0</v>
      </c>
      <c r="F40" s="25" t="n">
        <f aca="false">IFERROR(INDEX('DATA ENTRY'!$E:$E,MATCH(C40,'DATA ENTRY'!$B:$B,0)),"")</f>
        <v>0</v>
      </c>
      <c r="G40" s="34"/>
      <c r="H40" s="35"/>
      <c r="I40" s="35"/>
      <c r="J40" s="34"/>
      <c r="K40" s="27" t="str">
        <f aca="false">IF(H40="","",MAX(0,H40-IF(I40="",0,I40)))</f>
        <v/>
      </c>
      <c r="L40" s="25" t="str">
        <f aca="true">IF(H40="","",IF(I40&gt;=H40,"✅ Paid",IF(G40&lt;TODAY(),"🔴 Overdue",IF(G40&lt;=TODAY()+90,"🟡 Due Soon","⬜ Upcoming"))))</f>
        <v/>
      </c>
    </row>
    <row r="41" customFormat="false" ht="15" hidden="false" customHeight="false" outlineLevel="0" collapsed="false">
      <c r="A41" s="24" t="n">
        <v>39</v>
      </c>
      <c r="C41" s="26"/>
      <c r="D41" s="25" t="n">
        <f aca="false">IFERROR(INDEX('DATA ENTRY'!$S:$S,MATCH(C41,'DATA ENTRY'!$B:$B,0)),"")</f>
        <v>0</v>
      </c>
      <c r="E41" s="25" t="n">
        <f aca="false">IFERROR(INDEX('DATA ENTRY'!$C:$C,MATCH(C41,'DATA ENTRY'!$B:$B,0)),"")</f>
        <v>0</v>
      </c>
      <c r="F41" s="25" t="n">
        <f aca="false">IFERROR(INDEX('DATA ENTRY'!$E:$E,MATCH(C41,'DATA ENTRY'!$B:$B,0)),"")</f>
        <v>0</v>
      </c>
      <c r="G41" s="34"/>
      <c r="H41" s="35"/>
      <c r="I41" s="35"/>
      <c r="J41" s="34"/>
      <c r="K41" s="27" t="str">
        <f aca="false">IF(H41="","",MAX(0,H41-IF(I41="",0,I41)))</f>
        <v/>
      </c>
      <c r="L41" s="25" t="str">
        <f aca="true">IF(H41="","",IF(I41&gt;=H41,"✅ Paid",IF(G41&lt;TODAY(),"🔴 Overdue",IF(G41&lt;=TODAY()+90,"🟡 Due Soon","⬜ Upcoming"))))</f>
        <v/>
      </c>
    </row>
    <row r="42" customFormat="false" ht="15" hidden="false" customHeight="false" outlineLevel="0" collapsed="false">
      <c r="A42" s="24" t="n">
        <v>40</v>
      </c>
      <c r="C42" s="26"/>
      <c r="D42" s="25" t="n">
        <f aca="false">IFERROR(INDEX('DATA ENTRY'!$S:$S,MATCH(C42,'DATA ENTRY'!$B:$B,0)),"")</f>
        <v>0</v>
      </c>
      <c r="E42" s="25" t="n">
        <f aca="false">IFERROR(INDEX('DATA ENTRY'!$C:$C,MATCH(C42,'DATA ENTRY'!$B:$B,0)),"")</f>
        <v>0</v>
      </c>
      <c r="F42" s="25" t="n">
        <f aca="false">IFERROR(INDEX('DATA ENTRY'!$E:$E,MATCH(C42,'DATA ENTRY'!$B:$B,0)),"")</f>
        <v>0</v>
      </c>
      <c r="G42" s="34"/>
      <c r="H42" s="35"/>
      <c r="I42" s="35"/>
      <c r="J42" s="34"/>
      <c r="K42" s="27" t="str">
        <f aca="false">IF(H42="","",MAX(0,H42-IF(I42="",0,I42)))</f>
        <v/>
      </c>
      <c r="L42" s="25" t="str">
        <f aca="true">IF(H42="","",IF(I42&gt;=H42,"✅ Paid",IF(G42&lt;TODAY(),"🔴 Overdue",IF(G42&lt;=TODAY()+90,"🟡 Due Soon","⬜ Upcoming"))))</f>
        <v/>
      </c>
    </row>
    <row r="43" customFormat="false" ht="15" hidden="false" customHeight="false" outlineLevel="0" collapsed="false">
      <c r="A43" s="24" t="n">
        <v>41</v>
      </c>
      <c r="C43" s="26"/>
      <c r="D43" s="25" t="n">
        <f aca="false">IFERROR(INDEX('DATA ENTRY'!$S:$S,MATCH(C43,'DATA ENTRY'!$B:$B,0)),"")</f>
        <v>0</v>
      </c>
      <c r="E43" s="25" t="n">
        <f aca="false">IFERROR(INDEX('DATA ENTRY'!$C:$C,MATCH(C43,'DATA ENTRY'!$B:$B,0)),"")</f>
        <v>0</v>
      </c>
      <c r="F43" s="25" t="n">
        <f aca="false">IFERROR(INDEX('DATA ENTRY'!$E:$E,MATCH(C43,'DATA ENTRY'!$B:$B,0)),"")</f>
        <v>0</v>
      </c>
      <c r="G43" s="34"/>
      <c r="H43" s="35"/>
      <c r="I43" s="35"/>
      <c r="J43" s="34"/>
      <c r="K43" s="27" t="str">
        <f aca="false">IF(H43="","",MAX(0,H43-IF(I43="",0,I43)))</f>
        <v/>
      </c>
      <c r="L43" s="25" t="str">
        <f aca="true">IF(H43="","",IF(I43&gt;=H43,"✅ Paid",IF(G43&lt;TODAY(),"🔴 Overdue",IF(G43&lt;=TODAY()+90,"🟡 Due Soon","⬜ Upcoming"))))</f>
        <v/>
      </c>
    </row>
    <row r="44" customFormat="false" ht="15" hidden="false" customHeight="false" outlineLevel="0" collapsed="false">
      <c r="A44" s="24" t="n">
        <v>42</v>
      </c>
      <c r="C44" s="26"/>
      <c r="D44" s="25" t="n">
        <f aca="false">IFERROR(INDEX('DATA ENTRY'!$S:$S,MATCH(C44,'DATA ENTRY'!$B:$B,0)),"")</f>
        <v>0</v>
      </c>
      <c r="E44" s="25" t="n">
        <f aca="false">IFERROR(INDEX('DATA ENTRY'!$C:$C,MATCH(C44,'DATA ENTRY'!$B:$B,0)),"")</f>
        <v>0</v>
      </c>
      <c r="F44" s="25" t="n">
        <f aca="false">IFERROR(INDEX('DATA ENTRY'!$E:$E,MATCH(C44,'DATA ENTRY'!$B:$B,0)),"")</f>
        <v>0</v>
      </c>
      <c r="G44" s="34"/>
      <c r="H44" s="35"/>
      <c r="I44" s="35"/>
      <c r="J44" s="34"/>
      <c r="K44" s="27" t="str">
        <f aca="false">IF(H44="","",MAX(0,H44-IF(I44="",0,I44)))</f>
        <v/>
      </c>
      <c r="L44" s="25" t="str">
        <f aca="true">IF(H44="","",IF(I44&gt;=H44,"✅ Paid",IF(G44&lt;TODAY(),"🔴 Overdue",IF(G44&lt;=TODAY()+90,"🟡 Due Soon","⬜ Upcoming"))))</f>
        <v/>
      </c>
    </row>
    <row r="45" customFormat="false" ht="15" hidden="false" customHeight="false" outlineLevel="0" collapsed="false">
      <c r="A45" s="24" t="n">
        <v>43</v>
      </c>
      <c r="C45" s="26"/>
      <c r="D45" s="25" t="n">
        <f aca="false">IFERROR(INDEX('DATA ENTRY'!$S:$S,MATCH(C45,'DATA ENTRY'!$B:$B,0)),"")</f>
        <v>0</v>
      </c>
      <c r="E45" s="25" t="n">
        <f aca="false">IFERROR(INDEX('DATA ENTRY'!$C:$C,MATCH(C45,'DATA ENTRY'!$B:$B,0)),"")</f>
        <v>0</v>
      </c>
      <c r="F45" s="25" t="n">
        <f aca="false">IFERROR(INDEX('DATA ENTRY'!$E:$E,MATCH(C45,'DATA ENTRY'!$B:$B,0)),"")</f>
        <v>0</v>
      </c>
      <c r="G45" s="34"/>
      <c r="H45" s="35"/>
      <c r="I45" s="35"/>
      <c r="J45" s="34"/>
      <c r="K45" s="27" t="str">
        <f aca="false">IF(H45="","",MAX(0,H45-IF(I45="",0,I45)))</f>
        <v/>
      </c>
      <c r="L45" s="25" t="str">
        <f aca="true">IF(H45="","",IF(I45&gt;=H45,"✅ Paid",IF(G45&lt;TODAY(),"🔴 Overdue",IF(G45&lt;=TODAY()+90,"🟡 Due Soon","⬜ Upcoming"))))</f>
        <v/>
      </c>
    </row>
    <row r="46" customFormat="false" ht="15" hidden="false" customHeight="false" outlineLevel="0" collapsed="false">
      <c r="A46" s="24" t="n">
        <v>44</v>
      </c>
      <c r="C46" s="26"/>
      <c r="D46" s="25" t="n">
        <f aca="false">IFERROR(INDEX('DATA ENTRY'!$S:$S,MATCH(C46,'DATA ENTRY'!$B:$B,0)),"")</f>
        <v>0</v>
      </c>
      <c r="E46" s="25" t="n">
        <f aca="false">IFERROR(INDEX('DATA ENTRY'!$C:$C,MATCH(C46,'DATA ENTRY'!$B:$B,0)),"")</f>
        <v>0</v>
      </c>
      <c r="F46" s="25" t="n">
        <f aca="false">IFERROR(INDEX('DATA ENTRY'!$E:$E,MATCH(C46,'DATA ENTRY'!$B:$B,0)),"")</f>
        <v>0</v>
      </c>
      <c r="G46" s="34"/>
      <c r="H46" s="35"/>
      <c r="I46" s="35"/>
      <c r="J46" s="34"/>
      <c r="K46" s="27" t="str">
        <f aca="false">IF(H46="","",MAX(0,H46-IF(I46="",0,I46)))</f>
        <v/>
      </c>
      <c r="L46" s="25" t="str">
        <f aca="true">IF(H46="","",IF(I46&gt;=H46,"✅ Paid",IF(G46&lt;TODAY(),"🔴 Overdue",IF(G46&lt;=TODAY()+90,"🟡 Due Soon","⬜ Upcoming"))))</f>
        <v/>
      </c>
    </row>
    <row r="47" customFormat="false" ht="15" hidden="false" customHeight="false" outlineLevel="0" collapsed="false">
      <c r="A47" s="24" t="n">
        <v>45</v>
      </c>
      <c r="C47" s="26"/>
      <c r="D47" s="25" t="n">
        <f aca="false">IFERROR(INDEX('DATA ENTRY'!$S:$S,MATCH(C47,'DATA ENTRY'!$B:$B,0)),"")</f>
        <v>0</v>
      </c>
      <c r="E47" s="25" t="n">
        <f aca="false">IFERROR(INDEX('DATA ENTRY'!$C:$C,MATCH(C47,'DATA ENTRY'!$B:$B,0)),"")</f>
        <v>0</v>
      </c>
      <c r="F47" s="25" t="n">
        <f aca="false">IFERROR(INDEX('DATA ENTRY'!$E:$E,MATCH(C47,'DATA ENTRY'!$B:$B,0)),"")</f>
        <v>0</v>
      </c>
      <c r="G47" s="34"/>
      <c r="H47" s="35"/>
      <c r="I47" s="35"/>
      <c r="J47" s="34"/>
      <c r="K47" s="27" t="str">
        <f aca="false">IF(H47="","",MAX(0,H47-IF(I47="",0,I47)))</f>
        <v/>
      </c>
      <c r="L47" s="25" t="str">
        <f aca="true">IF(H47="","",IF(I47&gt;=H47,"✅ Paid",IF(G47&lt;TODAY(),"🔴 Overdue",IF(G47&lt;=TODAY()+90,"🟡 Due Soon","⬜ Upcoming"))))</f>
        <v/>
      </c>
    </row>
    <row r="48" customFormat="false" ht="15" hidden="false" customHeight="false" outlineLevel="0" collapsed="false">
      <c r="A48" s="24" t="n">
        <v>46</v>
      </c>
      <c r="C48" s="26"/>
      <c r="D48" s="25" t="n">
        <f aca="false">IFERROR(INDEX('DATA ENTRY'!$S:$S,MATCH(C48,'DATA ENTRY'!$B:$B,0)),"")</f>
        <v>0</v>
      </c>
      <c r="E48" s="25" t="n">
        <f aca="false">IFERROR(INDEX('DATA ENTRY'!$C:$C,MATCH(C48,'DATA ENTRY'!$B:$B,0)),"")</f>
        <v>0</v>
      </c>
      <c r="F48" s="25" t="n">
        <f aca="false">IFERROR(INDEX('DATA ENTRY'!$E:$E,MATCH(C48,'DATA ENTRY'!$B:$B,0)),"")</f>
        <v>0</v>
      </c>
      <c r="G48" s="34"/>
      <c r="H48" s="35"/>
      <c r="I48" s="35"/>
      <c r="J48" s="34"/>
      <c r="K48" s="27" t="str">
        <f aca="false">IF(H48="","",MAX(0,H48-IF(I48="",0,I48)))</f>
        <v/>
      </c>
      <c r="L48" s="25" t="str">
        <f aca="true">IF(H48="","",IF(I48&gt;=H48,"✅ Paid",IF(G48&lt;TODAY(),"🔴 Overdue",IF(G48&lt;=TODAY()+90,"🟡 Due Soon","⬜ Upcoming"))))</f>
        <v/>
      </c>
    </row>
    <row r="49" customFormat="false" ht="15" hidden="false" customHeight="false" outlineLevel="0" collapsed="false">
      <c r="A49" s="24" t="n">
        <v>47</v>
      </c>
      <c r="C49" s="26"/>
      <c r="D49" s="25" t="n">
        <f aca="false">IFERROR(INDEX('DATA ENTRY'!$S:$S,MATCH(C49,'DATA ENTRY'!$B:$B,0)),"")</f>
        <v>0</v>
      </c>
      <c r="E49" s="25" t="n">
        <f aca="false">IFERROR(INDEX('DATA ENTRY'!$C:$C,MATCH(C49,'DATA ENTRY'!$B:$B,0)),"")</f>
        <v>0</v>
      </c>
      <c r="F49" s="25" t="n">
        <f aca="false">IFERROR(INDEX('DATA ENTRY'!$E:$E,MATCH(C49,'DATA ENTRY'!$B:$B,0)),"")</f>
        <v>0</v>
      </c>
      <c r="G49" s="34"/>
      <c r="H49" s="35"/>
      <c r="I49" s="35"/>
      <c r="J49" s="34"/>
      <c r="K49" s="27" t="str">
        <f aca="false">IF(H49="","",MAX(0,H49-IF(I49="",0,I49)))</f>
        <v/>
      </c>
      <c r="L49" s="25" t="str">
        <f aca="true">IF(H49="","",IF(I49&gt;=H49,"✅ Paid",IF(G49&lt;TODAY(),"🔴 Overdue",IF(G49&lt;=TODAY()+90,"🟡 Due Soon","⬜ Upcoming"))))</f>
        <v/>
      </c>
    </row>
    <row r="50" customFormat="false" ht="15" hidden="false" customHeight="false" outlineLevel="0" collapsed="false">
      <c r="A50" s="24" t="n">
        <v>48</v>
      </c>
      <c r="C50" s="26"/>
      <c r="D50" s="25" t="n">
        <f aca="false">IFERROR(INDEX('DATA ENTRY'!$S:$S,MATCH(C50,'DATA ENTRY'!$B:$B,0)),"")</f>
        <v>0</v>
      </c>
      <c r="E50" s="25" t="n">
        <f aca="false">IFERROR(INDEX('DATA ENTRY'!$C:$C,MATCH(C50,'DATA ENTRY'!$B:$B,0)),"")</f>
        <v>0</v>
      </c>
      <c r="F50" s="25" t="n">
        <f aca="false">IFERROR(INDEX('DATA ENTRY'!$E:$E,MATCH(C50,'DATA ENTRY'!$B:$B,0)),"")</f>
        <v>0</v>
      </c>
      <c r="G50" s="34"/>
      <c r="H50" s="35"/>
      <c r="I50" s="35"/>
      <c r="J50" s="34"/>
      <c r="K50" s="27" t="str">
        <f aca="false">IF(H50="","",MAX(0,H50-IF(I50="",0,I50)))</f>
        <v/>
      </c>
      <c r="L50" s="25" t="str">
        <f aca="true">IF(H50="","",IF(I50&gt;=H50,"✅ Paid",IF(G50&lt;TODAY(),"🔴 Overdue",IF(G50&lt;=TODAY()+90,"🟡 Due Soon","⬜ Upcoming"))))</f>
        <v/>
      </c>
    </row>
    <row r="51" customFormat="false" ht="15" hidden="false" customHeight="false" outlineLevel="0" collapsed="false">
      <c r="A51" s="24" t="n">
        <v>49</v>
      </c>
      <c r="C51" s="26"/>
      <c r="D51" s="25" t="n">
        <f aca="false">IFERROR(INDEX('DATA ENTRY'!$S:$S,MATCH(C51,'DATA ENTRY'!$B:$B,0)),"")</f>
        <v>0</v>
      </c>
      <c r="E51" s="25" t="n">
        <f aca="false">IFERROR(INDEX('DATA ENTRY'!$C:$C,MATCH(C51,'DATA ENTRY'!$B:$B,0)),"")</f>
        <v>0</v>
      </c>
      <c r="F51" s="25" t="n">
        <f aca="false">IFERROR(INDEX('DATA ENTRY'!$E:$E,MATCH(C51,'DATA ENTRY'!$B:$B,0)),"")</f>
        <v>0</v>
      </c>
      <c r="G51" s="34"/>
      <c r="H51" s="35"/>
      <c r="I51" s="35"/>
      <c r="J51" s="34"/>
      <c r="K51" s="27" t="str">
        <f aca="false">IF(H51="","",MAX(0,H51-IF(I51="",0,I51)))</f>
        <v/>
      </c>
      <c r="L51" s="25" t="str">
        <f aca="true">IF(H51="","",IF(I51&gt;=H51,"✅ Paid",IF(G51&lt;TODAY(),"🔴 Overdue",IF(G51&lt;=TODAY()+90,"🟡 Due Soon","⬜ Upcoming"))))</f>
        <v/>
      </c>
    </row>
    <row r="52" customFormat="false" ht="15" hidden="false" customHeight="false" outlineLevel="0" collapsed="false">
      <c r="A52" s="24" t="n">
        <v>50</v>
      </c>
      <c r="C52" s="26"/>
      <c r="D52" s="25" t="n">
        <f aca="false">IFERROR(INDEX('DATA ENTRY'!$S:$S,MATCH(C52,'DATA ENTRY'!$B:$B,0)),"")</f>
        <v>0</v>
      </c>
      <c r="E52" s="25" t="n">
        <f aca="false">IFERROR(INDEX('DATA ENTRY'!$C:$C,MATCH(C52,'DATA ENTRY'!$B:$B,0)),"")</f>
        <v>0</v>
      </c>
      <c r="F52" s="25" t="n">
        <f aca="false">IFERROR(INDEX('DATA ENTRY'!$E:$E,MATCH(C52,'DATA ENTRY'!$B:$B,0)),"")</f>
        <v>0</v>
      </c>
      <c r="G52" s="34"/>
      <c r="H52" s="35"/>
      <c r="I52" s="35"/>
      <c r="J52" s="34"/>
      <c r="K52" s="27" t="str">
        <f aca="false">IF(H52="","",MAX(0,H52-IF(I52="",0,I52)))</f>
        <v/>
      </c>
      <c r="L52" s="25" t="str">
        <f aca="true">IF(H52="","",IF(I52&gt;=H52,"✅ Paid",IF(G52&lt;TODAY(),"🔴 Overdue",IF(G52&lt;=TODAY()+90,"🟡 Due Soon","⬜ Upcoming"))))</f>
        <v/>
      </c>
    </row>
    <row r="53" customFormat="false" ht="15" hidden="false" customHeight="false" outlineLevel="0" collapsed="false">
      <c r="A53" s="24" t="n">
        <v>51</v>
      </c>
      <c r="C53" s="26"/>
      <c r="D53" s="25" t="n">
        <f aca="false">IFERROR(INDEX('DATA ENTRY'!$S:$S,MATCH(C53,'DATA ENTRY'!$B:$B,0)),"")</f>
        <v>0</v>
      </c>
      <c r="E53" s="25" t="n">
        <f aca="false">IFERROR(INDEX('DATA ENTRY'!$C:$C,MATCH(C53,'DATA ENTRY'!$B:$B,0)),"")</f>
        <v>0</v>
      </c>
      <c r="F53" s="25" t="n">
        <f aca="false">IFERROR(INDEX('DATA ENTRY'!$E:$E,MATCH(C53,'DATA ENTRY'!$B:$B,0)),"")</f>
        <v>0</v>
      </c>
      <c r="G53" s="34"/>
      <c r="H53" s="35"/>
      <c r="I53" s="35"/>
      <c r="J53" s="34"/>
      <c r="K53" s="27" t="str">
        <f aca="false">IF(H53="","",MAX(0,H53-IF(I53="",0,I53)))</f>
        <v/>
      </c>
      <c r="L53" s="25" t="str">
        <f aca="true">IF(H53="","",IF(I53&gt;=H53,"✅ Paid",IF(G53&lt;TODAY(),"🔴 Overdue",IF(G53&lt;=TODAY()+90,"🟡 Due Soon","⬜ Upcoming"))))</f>
        <v/>
      </c>
    </row>
    <row r="54" customFormat="false" ht="15" hidden="false" customHeight="false" outlineLevel="0" collapsed="false">
      <c r="A54" s="24" t="n">
        <v>52</v>
      </c>
      <c r="C54" s="26"/>
      <c r="D54" s="25" t="n">
        <f aca="false">IFERROR(INDEX('DATA ENTRY'!$S:$S,MATCH(C54,'DATA ENTRY'!$B:$B,0)),"")</f>
        <v>0</v>
      </c>
      <c r="E54" s="25" t="n">
        <f aca="false">IFERROR(INDEX('DATA ENTRY'!$C:$C,MATCH(C54,'DATA ENTRY'!$B:$B,0)),"")</f>
        <v>0</v>
      </c>
      <c r="F54" s="25" t="n">
        <f aca="false">IFERROR(INDEX('DATA ENTRY'!$E:$E,MATCH(C54,'DATA ENTRY'!$B:$B,0)),"")</f>
        <v>0</v>
      </c>
      <c r="G54" s="34"/>
      <c r="H54" s="35"/>
      <c r="I54" s="35"/>
      <c r="J54" s="34"/>
      <c r="K54" s="27" t="str">
        <f aca="false">IF(H54="","",MAX(0,H54-IF(I54="",0,I54)))</f>
        <v/>
      </c>
      <c r="L54" s="25" t="str">
        <f aca="true">IF(H54="","",IF(I54&gt;=H54,"✅ Paid",IF(G54&lt;TODAY(),"🔴 Overdue",IF(G54&lt;=TODAY()+90,"🟡 Due Soon","⬜ Upcoming"))))</f>
        <v/>
      </c>
    </row>
    <row r="55" customFormat="false" ht="15" hidden="false" customHeight="false" outlineLevel="0" collapsed="false">
      <c r="A55" s="24" t="n">
        <v>53</v>
      </c>
      <c r="C55" s="26"/>
      <c r="D55" s="25" t="n">
        <f aca="false">IFERROR(INDEX('DATA ENTRY'!$S:$S,MATCH(C55,'DATA ENTRY'!$B:$B,0)),"")</f>
        <v>0</v>
      </c>
      <c r="E55" s="25" t="n">
        <f aca="false">IFERROR(INDEX('DATA ENTRY'!$C:$C,MATCH(C55,'DATA ENTRY'!$B:$B,0)),"")</f>
        <v>0</v>
      </c>
      <c r="F55" s="25" t="n">
        <f aca="false">IFERROR(INDEX('DATA ENTRY'!$E:$E,MATCH(C55,'DATA ENTRY'!$B:$B,0)),"")</f>
        <v>0</v>
      </c>
      <c r="G55" s="34"/>
      <c r="H55" s="35"/>
      <c r="I55" s="35"/>
      <c r="J55" s="34"/>
      <c r="K55" s="27" t="str">
        <f aca="false">IF(H55="","",MAX(0,H55-IF(I55="",0,I55)))</f>
        <v/>
      </c>
      <c r="L55" s="25" t="str">
        <f aca="true">IF(H55="","",IF(I55&gt;=H55,"✅ Paid",IF(G55&lt;TODAY(),"🔴 Overdue",IF(G55&lt;=TODAY()+90,"🟡 Due Soon","⬜ Upcoming"))))</f>
        <v/>
      </c>
    </row>
    <row r="56" customFormat="false" ht="15" hidden="false" customHeight="false" outlineLevel="0" collapsed="false">
      <c r="A56" s="24" t="n">
        <v>54</v>
      </c>
      <c r="C56" s="26"/>
      <c r="D56" s="25" t="n">
        <f aca="false">IFERROR(INDEX('DATA ENTRY'!$S:$S,MATCH(C56,'DATA ENTRY'!$B:$B,0)),"")</f>
        <v>0</v>
      </c>
      <c r="E56" s="25" t="n">
        <f aca="false">IFERROR(INDEX('DATA ENTRY'!$C:$C,MATCH(C56,'DATA ENTRY'!$B:$B,0)),"")</f>
        <v>0</v>
      </c>
      <c r="F56" s="25" t="n">
        <f aca="false">IFERROR(INDEX('DATA ENTRY'!$E:$E,MATCH(C56,'DATA ENTRY'!$B:$B,0)),"")</f>
        <v>0</v>
      </c>
      <c r="G56" s="34"/>
      <c r="H56" s="35"/>
      <c r="I56" s="35"/>
      <c r="J56" s="34"/>
      <c r="K56" s="27" t="str">
        <f aca="false">IF(H56="","",MAX(0,H56-IF(I56="",0,I56)))</f>
        <v/>
      </c>
      <c r="L56" s="25" t="str">
        <f aca="true">IF(H56="","",IF(I56&gt;=H56,"✅ Paid",IF(G56&lt;TODAY(),"🔴 Overdue",IF(G56&lt;=TODAY()+90,"🟡 Due Soon","⬜ Upcoming"))))</f>
        <v/>
      </c>
    </row>
    <row r="57" customFormat="false" ht="15" hidden="false" customHeight="false" outlineLevel="0" collapsed="false">
      <c r="A57" s="24" t="n">
        <v>55</v>
      </c>
      <c r="C57" s="26"/>
      <c r="D57" s="25" t="n">
        <f aca="false">IFERROR(INDEX('DATA ENTRY'!$S:$S,MATCH(C57,'DATA ENTRY'!$B:$B,0)),"")</f>
        <v>0</v>
      </c>
      <c r="E57" s="25" t="n">
        <f aca="false">IFERROR(INDEX('DATA ENTRY'!$C:$C,MATCH(C57,'DATA ENTRY'!$B:$B,0)),"")</f>
        <v>0</v>
      </c>
      <c r="F57" s="25" t="n">
        <f aca="false">IFERROR(INDEX('DATA ENTRY'!$E:$E,MATCH(C57,'DATA ENTRY'!$B:$B,0)),"")</f>
        <v>0</v>
      </c>
      <c r="G57" s="34"/>
      <c r="H57" s="35"/>
      <c r="I57" s="35"/>
      <c r="J57" s="34"/>
      <c r="K57" s="27" t="str">
        <f aca="false">IF(H57="","",MAX(0,H57-IF(I57="",0,I57)))</f>
        <v/>
      </c>
      <c r="L57" s="25" t="str">
        <f aca="true">IF(H57="","",IF(I57&gt;=H57,"✅ Paid",IF(G57&lt;TODAY(),"🔴 Overdue",IF(G57&lt;=TODAY()+90,"🟡 Due Soon","⬜ Upcoming"))))</f>
        <v/>
      </c>
    </row>
    <row r="58" customFormat="false" ht="15" hidden="false" customHeight="false" outlineLevel="0" collapsed="false">
      <c r="A58" s="24" t="n">
        <v>56</v>
      </c>
      <c r="C58" s="26"/>
      <c r="D58" s="25" t="n">
        <f aca="false">IFERROR(INDEX('DATA ENTRY'!$S:$S,MATCH(C58,'DATA ENTRY'!$B:$B,0)),"")</f>
        <v>0</v>
      </c>
      <c r="E58" s="25" t="n">
        <f aca="false">IFERROR(INDEX('DATA ENTRY'!$C:$C,MATCH(C58,'DATA ENTRY'!$B:$B,0)),"")</f>
        <v>0</v>
      </c>
      <c r="F58" s="25" t="n">
        <f aca="false">IFERROR(INDEX('DATA ENTRY'!$E:$E,MATCH(C58,'DATA ENTRY'!$B:$B,0)),"")</f>
        <v>0</v>
      </c>
      <c r="G58" s="34"/>
      <c r="H58" s="35"/>
      <c r="I58" s="35"/>
      <c r="J58" s="34"/>
      <c r="K58" s="27" t="str">
        <f aca="false">IF(H58="","",MAX(0,H58-IF(I58="",0,I58)))</f>
        <v/>
      </c>
      <c r="L58" s="25" t="str">
        <f aca="true">IF(H58="","",IF(I58&gt;=H58,"✅ Paid",IF(G58&lt;TODAY(),"🔴 Overdue",IF(G58&lt;=TODAY()+90,"🟡 Due Soon","⬜ Upcoming"))))</f>
        <v/>
      </c>
    </row>
    <row r="59" customFormat="false" ht="15" hidden="false" customHeight="false" outlineLevel="0" collapsed="false">
      <c r="A59" s="24" t="n">
        <v>57</v>
      </c>
      <c r="C59" s="26"/>
      <c r="D59" s="25" t="n">
        <f aca="false">IFERROR(INDEX('DATA ENTRY'!$S:$S,MATCH(C59,'DATA ENTRY'!$B:$B,0)),"")</f>
        <v>0</v>
      </c>
      <c r="E59" s="25" t="n">
        <f aca="false">IFERROR(INDEX('DATA ENTRY'!$C:$C,MATCH(C59,'DATA ENTRY'!$B:$B,0)),"")</f>
        <v>0</v>
      </c>
      <c r="F59" s="25" t="n">
        <f aca="false">IFERROR(INDEX('DATA ENTRY'!$E:$E,MATCH(C59,'DATA ENTRY'!$B:$B,0)),"")</f>
        <v>0</v>
      </c>
      <c r="G59" s="34"/>
      <c r="H59" s="35"/>
      <c r="I59" s="35"/>
      <c r="J59" s="34"/>
      <c r="K59" s="27" t="str">
        <f aca="false">IF(H59="","",MAX(0,H59-IF(I59="",0,I59)))</f>
        <v/>
      </c>
      <c r="L59" s="25" t="str">
        <f aca="true">IF(H59="","",IF(I59&gt;=H59,"✅ Paid",IF(G59&lt;TODAY(),"🔴 Overdue",IF(G59&lt;=TODAY()+90,"🟡 Due Soon","⬜ Upcoming"))))</f>
        <v/>
      </c>
    </row>
    <row r="60" customFormat="false" ht="15" hidden="false" customHeight="false" outlineLevel="0" collapsed="false">
      <c r="A60" s="24" t="n">
        <v>58</v>
      </c>
      <c r="C60" s="26"/>
      <c r="D60" s="25" t="n">
        <f aca="false">IFERROR(INDEX('DATA ENTRY'!$S:$S,MATCH(C60,'DATA ENTRY'!$B:$B,0)),"")</f>
        <v>0</v>
      </c>
      <c r="E60" s="25" t="n">
        <f aca="false">IFERROR(INDEX('DATA ENTRY'!$C:$C,MATCH(C60,'DATA ENTRY'!$B:$B,0)),"")</f>
        <v>0</v>
      </c>
      <c r="F60" s="25" t="n">
        <f aca="false">IFERROR(INDEX('DATA ENTRY'!$E:$E,MATCH(C60,'DATA ENTRY'!$B:$B,0)),"")</f>
        <v>0</v>
      </c>
      <c r="G60" s="34"/>
      <c r="H60" s="35"/>
      <c r="I60" s="35"/>
      <c r="J60" s="34"/>
      <c r="K60" s="27" t="str">
        <f aca="false">IF(H60="","",MAX(0,H60-IF(I60="",0,I60)))</f>
        <v/>
      </c>
      <c r="L60" s="25" t="str">
        <f aca="true">IF(H60="","",IF(I60&gt;=H60,"✅ Paid",IF(G60&lt;TODAY(),"🔴 Overdue",IF(G60&lt;=TODAY()+90,"🟡 Due Soon","⬜ Upcoming"))))</f>
        <v/>
      </c>
    </row>
    <row r="61" customFormat="false" ht="15" hidden="false" customHeight="false" outlineLevel="0" collapsed="false">
      <c r="A61" s="24" t="n">
        <v>59</v>
      </c>
      <c r="C61" s="26"/>
      <c r="D61" s="25" t="n">
        <f aca="false">IFERROR(INDEX('DATA ENTRY'!$S:$S,MATCH(C61,'DATA ENTRY'!$B:$B,0)),"")</f>
        <v>0</v>
      </c>
      <c r="E61" s="25" t="n">
        <f aca="false">IFERROR(INDEX('DATA ENTRY'!$C:$C,MATCH(C61,'DATA ENTRY'!$B:$B,0)),"")</f>
        <v>0</v>
      </c>
      <c r="F61" s="25" t="n">
        <f aca="false">IFERROR(INDEX('DATA ENTRY'!$E:$E,MATCH(C61,'DATA ENTRY'!$B:$B,0)),"")</f>
        <v>0</v>
      </c>
      <c r="G61" s="34"/>
      <c r="H61" s="35"/>
      <c r="I61" s="35"/>
      <c r="J61" s="34"/>
      <c r="K61" s="27" t="str">
        <f aca="false">IF(H61="","",MAX(0,H61-IF(I61="",0,I61)))</f>
        <v/>
      </c>
      <c r="L61" s="25" t="str">
        <f aca="true">IF(H61="","",IF(I61&gt;=H61,"✅ Paid",IF(G61&lt;TODAY(),"🔴 Overdue",IF(G61&lt;=TODAY()+90,"🟡 Due Soon","⬜ Upcoming"))))</f>
        <v/>
      </c>
    </row>
    <row r="62" customFormat="false" ht="15" hidden="false" customHeight="false" outlineLevel="0" collapsed="false">
      <c r="A62" s="24" t="n">
        <v>60</v>
      </c>
      <c r="C62" s="26"/>
      <c r="D62" s="25" t="n">
        <f aca="false">IFERROR(INDEX('DATA ENTRY'!$S:$S,MATCH(C62,'DATA ENTRY'!$B:$B,0)),"")</f>
        <v>0</v>
      </c>
      <c r="E62" s="25" t="n">
        <f aca="false">IFERROR(INDEX('DATA ENTRY'!$C:$C,MATCH(C62,'DATA ENTRY'!$B:$B,0)),"")</f>
        <v>0</v>
      </c>
      <c r="F62" s="25" t="n">
        <f aca="false">IFERROR(INDEX('DATA ENTRY'!$E:$E,MATCH(C62,'DATA ENTRY'!$B:$B,0)),"")</f>
        <v>0</v>
      </c>
      <c r="G62" s="34"/>
      <c r="H62" s="35"/>
      <c r="I62" s="35"/>
      <c r="J62" s="34"/>
      <c r="K62" s="27" t="str">
        <f aca="false">IF(H62="","",MAX(0,H62-IF(I62="",0,I62)))</f>
        <v/>
      </c>
      <c r="L62" s="25" t="str">
        <f aca="true">IF(H62="","",IF(I62&gt;=H62,"✅ Paid",IF(G62&lt;TODAY(),"🔴 Overdue",IF(G62&lt;=TODAY()+90,"🟡 Due Soon","⬜ Upcoming"))))</f>
        <v/>
      </c>
    </row>
    <row r="63" customFormat="false" ht="15" hidden="false" customHeight="false" outlineLevel="0" collapsed="false">
      <c r="A63" s="24" t="n">
        <v>61</v>
      </c>
      <c r="C63" s="26"/>
      <c r="D63" s="25" t="n">
        <f aca="false">IFERROR(INDEX('DATA ENTRY'!$S:$S,MATCH(C63,'DATA ENTRY'!$B:$B,0)),"")</f>
        <v>0</v>
      </c>
      <c r="E63" s="25" t="n">
        <f aca="false">IFERROR(INDEX('DATA ENTRY'!$C:$C,MATCH(C63,'DATA ENTRY'!$B:$B,0)),"")</f>
        <v>0</v>
      </c>
      <c r="F63" s="25" t="n">
        <f aca="false">IFERROR(INDEX('DATA ENTRY'!$E:$E,MATCH(C63,'DATA ENTRY'!$B:$B,0)),"")</f>
        <v>0</v>
      </c>
      <c r="G63" s="34"/>
      <c r="H63" s="35"/>
      <c r="I63" s="35"/>
      <c r="J63" s="34"/>
      <c r="K63" s="27" t="str">
        <f aca="false">IF(H63="","",MAX(0,H63-IF(I63="",0,I63)))</f>
        <v/>
      </c>
      <c r="L63" s="25" t="str">
        <f aca="true">IF(H63="","",IF(I63&gt;=H63,"✅ Paid",IF(G63&lt;TODAY(),"🔴 Overdue",IF(G63&lt;=TODAY()+90,"🟡 Due Soon","⬜ Upcoming"))))</f>
        <v/>
      </c>
    </row>
    <row r="64" customFormat="false" ht="15" hidden="false" customHeight="false" outlineLevel="0" collapsed="false">
      <c r="A64" s="24" t="n">
        <v>62</v>
      </c>
      <c r="C64" s="26"/>
      <c r="D64" s="25" t="n">
        <f aca="false">IFERROR(INDEX('DATA ENTRY'!$S:$S,MATCH(C64,'DATA ENTRY'!$B:$B,0)),"")</f>
        <v>0</v>
      </c>
      <c r="E64" s="25" t="n">
        <f aca="false">IFERROR(INDEX('DATA ENTRY'!$C:$C,MATCH(C64,'DATA ENTRY'!$B:$B,0)),"")</f>
        <v>0</v>
      </c>
      <c r="F64" s="25" t="n">
        <f aca="false">IFERROR(INDEX('DATA ENTRY'!$E:$E,MATCH(C64,'DATA ENTRY'!$B:$B,0)),"")</f>
        <v>0</v>
      </c>
      <c r="G64" s="34"/>
      <c r="H64" s="35"/>
      <c r="I64" s="35"/>
      <c r="J64" s="34"/>
      <c r="K64" s="27" t="str">
        <f aca="false">IF(H64="","",MAX(0,H64-IF(I64="",0,I64)))</f>
        <v/>
      </c>
      <c r="L64" s="25" t="str">
        <f aca="true">IF(H64="","",IF(I64&gt;=H64,"✅ Paid",IF(G64&lt;TODAY(),"🔴 Overdue",IF(G64&lt;=TODAY()+90,"🟡 Due Soon","⬜ Upcoming"))))</f>
        <v/>
      </c>
    </row>
    <row r="65" customFormat="false" ht="15" hidden="false" customHeight="false" outlineLevel="0" collapsed="false">
      <c r="A65" s="24" t="n">
        <v>63</v>
      </c>
      <c r="C65" s="26"/>
      <c r="D65" s="25" t="n">
        <f aca="false">IFERROR(INDEX('DATA ENTRY'!$S:$S,MATCH(C65,'DATA ENTRY'!$B:$B,0)),"")</f>
        <v>0</v>
      </c>
      <c r="E65" s="25" t="n">
        <f aca="false">IFERROR(INDEX('DATA ENTRY'!$C:$C,MATCH(C65,'DATA ENTRY'!$B:$B,0)),"")</f>
        <v>0</v>
      </c>
      <c r="F65" s="25" t="n">
        <f aca="false">IFERROR(INDEX('DATA ENTRY'!$E:$E,MATCH(C65,'DATA ENTRY'!$B:$B,0)),"")</f>
        <v>0</v>
      </c>
      <c r="G65" s="34"/>
      <c r="H65" s="35"/>
      <c r="I65" s="35"/>
      <c r="J65" s="34"/>
      <c r="K65" s="27" t="str">
        <f aca="false">IF(H65="","",MAX(0,H65-IF(I65="",0,I65)))</f>
        <v/>
      </c>
      <c r="L65" s="25" t="str">
        <f aca="true">IF(H65="","",IF(I65&gt;=H65,"✅ Paid",IF(G65&lt;TODAY(),"🔴 Overdue",IF(G65&lt;=TODAY()+90,"🟡 Due Soon","⬜ Upcoming"))))</f>
        <v/>
      </c>
    </row>
    <row r="66" customFormat="false" ht="15" hidden="false" customHeight="false" outlineLevel="0" collapsed="false">
      <c r="A66" s="24" t="n">
        <v>64</v>
      </c>
      <c r="C66" s="26"/>
      <c r="D66" s="25" t="n">
        <f aca="false">IFERROR(INDEX('DATA ENTRY'!$S:$S,MATCH(C66,'DATA ENTRY'!$B:$B,0)),"")</f>
        <v>0</v>
      </c>
      <c r="E66" s="25" t="n">
        <f aca="false">IFERROR(INDEX('DATA ENTRY'!$C:$C,MATCH(C66,'DATA ENTRY'!$B:$B,0)),"")</f>
        <v>0</v>
      </c>
      <c r="F66" s="25" t="n">
        <f aca="false">IFERROR(INDEX('DATA ENTRY'!$E:$E,MATCH(C66,'DATA ENTRY'!$B:$B,0)),"")</f>
        <v>0</v>
      </c>
      <c r="G66" s="34"/>
      <c r="H66" s="35"/>
      <c r="I66" s="35"/>
      <c r="J66" s="34"/>
      <c r="K66" s="27" t="str">
        <f aca="false">IF(H66="","",MAX(0,H66-IF(I66="",0,I66)))</f>
        <v/>
      </c>
      <c r="L66" s="25" t="str">
        <f aca="true">IF(H66="","",IF(I66&gt;=H66,"✅ Paid",IF(G66&lt;TODAY(),"🔴 Overdue",IF(G66&lt;=TODAY()+90,"🟡 Due Soon","⬜ Upcoming"))))</f>
        <v/>
      </c>
    </row>
    <row r="67" customFormat="false" ht="15" hidden="false" customHeight="false" outlineLevel="0" collapsed="false">
      <c r="A67" s="24" t="n">
        <v>65</v>
      </c>
      <c r="C67" s="26"/>
      <c r="D67" s="25" t="n">
        <f aca="false">IFERROR(INDEX('DATA ENTRY'!$S:$S,MATCH(C67,'DATA ENTRY'!$B:$B,0)),"")</f>
        <v>0</v>
      </c>
      <c r="E67" s="25" t="n">
        <f aca="false">IFERROR(INDEX('DATA ENTRY'!$C:$C,MATCH(C67,'DATA ENTRY'!$B:$B,0)),"")</f>
        <v>0</v>
      </c>
      <c r="F67" s="25" t="n">
        <f aca="false">IFERROR(INDEX('DATA ENTRY'!$E:$E,MATCH(C67,'DATA ENTRY'!$B:$B,0)),"")</f>
        <v>0</v>
      </c>
      <c r="G67" s="34"/>
      <c r="H67" s="35"/>
      <c r="I67" s="35"/>
      <c r="J67" s="34"/>
      <c r="K67" s="27" t="str">
        <f aca="false">IF(H67="","",MAX(0,H67-IF(I67="",0,I67)))</f>
        <v/>
      </c>
      <c r="L67" s="25" t="str">
        <f aca="true">IF(H67="","",IF(I67&gt;=H67,"✅ Paid",IF(G67&lt;TODAY(),"🔴 Overdue",IF(G67&lt;=TODAY()+90,"🟡 Due Soon","⬜ Upcoming"))))</f>
        <v/>
      </c>
    </row>
    <row r="68" customFormat="false" ht="15" hidden="false" customHeight="false" outlineLevel="0" collapsed="false">
      <c r="A68" s="24" t="n">
        <v>66</v>
      </c>
      <c r="C68" s="26"/>
      <c r="D68" s="25" t="n">
        <f aca="false">IFERROR(INDEX('DATA ENTRY'!$S:$S,MATCH(C68,'DATA ENTRY'!$B:$B,0)),"")</f>
        <v>0</v>
      </c>
      <c r="E68" s="25" t="n">
        <f aca="false">IFERROR(INDEX('DATA ENTRY'!$C:$C,MATCH(C68,'DATA ENTRY'!$B:$B,0)),"")</f>
        <v>0</v>
      </c>
      <c r="F68" s="25" t="n">
        <f aca="false">IFERROR(INDEX('DATA ENTRY'!$E:$E,MATCH(C68,'DATA ENTRY'!$B:$B,0)),"")</f>
        <v>0</v>
      </c>
      <c r="G68" s="34"/>
      <c r="H68" s="35"/>
      <c r="I68" s="35"/>
      <c r="J68" s="34"/>
      <c r="K68" s="27" t="str">
        <f aca="false">IF(H68="","",MAX(0,H68-IF(I68="",0,I68)))</f>
        <v/>
      </c>
      <c r="L68" s="25" t="str">
        <f aca="true">IF(H68="","",IF(I68&gt;=H68,"✅ Paid",IF(G68&lt;TODAY(),"🔴 Overdue",IF(G68&lt;=TODAY()+90,"🟡 Due Soon","⬜ Upcoming"))))</f>
        <v/>
      </c>
    </row>
    <row r="69" customFormat="false" ht="15" hidden="false" customHeight="false" outlineLevel="0" collapsed="false">
      <c r="A69" s="24" t="n">
        <v>67</v>
      </c>
      <c r="C69" s="26"/>
      <c r="D69" s="25" t="n">
        <f aca="false">IFERROR(INDEX('DATA ENTRY'!$S:$S,MATCH(C69,'DATA ENTRY'!$B:$B,0)),"")</f>
        <v>0</v>
      </c>
      <c r="E69" s="25" t="n">
        <f aca="false">IFERROR(INDEX('DATA ENTRY'!$C:$C,MATCH(C69,'DATA ENTRY'!$B:$B,0)),"")</f>
        <v>0</v>
      </c>
      <c r="F69" s="25" t="n">
        <f aca="false">IFERROR(INDEX('DATA ENTRY'!$E:$E,MATCH(C69,'DATA ENTRY'!$B:$B,0)),"")</f>
        <v>0</v>
      </c>
      <c r="G69" s="34"/>
      <c r="H69" s="35"/>
      <c r="I69" s="35"/>
      <c r="J69" s="34"/>
      <c r="K69" s="27" t="str">
        <f aca="false">IF(H69="","",MAX(0,H69-IF(I69="",0,I69)))</f>
        <v/>
      </c>
      <c r="L69" s="25" t="str">
        <f aca="true">IF(H69="","",IF(I69&gt;=H69,"✅ Paid",IF(G69&lt;TODAY(),"🔴 Overdue",IF(G69&lt;=TODAY()+90,"🟡 Due Soon","⬜ Upcoming"))))</f>
        <v/>
      </c>
    </row>
    <row r="70" customFormat="false" ht="15" hidden="false" customHeight="false" outlineLevel="0" collapsed="false">
      <c r="A70" s="24" t="n">
        <v>68</v>
      </c>
      <c r="C70" s="26"/>
      <c r="D70" s="25" t="n">
        <f aca="false">IFERROR(INDEX('DATA ENTRY'!$S:$S,MATCH(C70,'DATA ENTRY'!$B:$B,0)),"")</f>
        <v>0</v>
      </c>
      <c r="E70" s="25" t="n">
        <f aca="false">IFERROR(INDEX('DATA ENTRY'!$C:$C,MATCH(C70,'DATA ENTRY'!$B:$B,0)),"")</f>
        <v>0</v>
      </c>
      <c r="F70" s="25" t="n">
        <f aca="false">IFERROR(INDEX('DATA ENTRY'!$E:$E,MATCH(C70,'DATA ENTRY'!$B:$B,0)),"")</f>
        <v>0</v>
      </c>
      <c r="G70" s="34"/>
      <c r="H70" s="35"/>
      <c r="I70" s="35"/>
      <c r="J70" s="34"/>
      <c r="K70" s="27" t="str">
        <f aca="false">IF(H70="","",MAX(0,H70-IF(I70="",0,I70)))</f>
        <v/>
      </c>
      <c r="L70" s="25" t="str">
        <f aca="true">IF(H70="","",IF(I70&gt;=H70,"✅ Paid",IF(G70&lt;TODAY(),"🔴 Overdue",IF(G70&lt;=TODAY()+90,"🟡 Due Soon","⬜ Upcoming"))))</f>
        <v/>
      </c>
    </row>
    <row r="71" customFormat="false" ht="15" hidden="false" customHeight="false" outlineLevel="0" collapsed="false">
      <c r="A71" s="24" t="n">
        <v>69</v>
      </c>
      <c r="C71" s="26"/>
      <c r="D71" s="25" t="n">
        <f aca="false">IFERROR(INDEX('DATA ENTRY'!$S:$S,MATCH(C71,'DATA ENTRY'!$B:$B,0)),"")</f>
        <v>0</v>
      </c>
      <c r="E71" s="25" t="n">
        <f aca="false">IFERROR(INDEX('DATA ENTRY'!$C:$C,MATCH(C71,'DATA ENTRY'!$B:$B,0)),"")</f>
        <v>0</v>
      </c>
      <c r="F71" s="25" t="n">
        <f aca="false">IFERROR(INDEX('DATA ENTRY'!$E:$E,MATCH(C71,'DATA ENTRY'!$B:$B,0)),"")</f>
        <v>0</v>
      </c>
      <c r="G71" s="34"/>
      <c r="H71" s="35"/>
      <c r="I71" s="35"/>
      <c r="J71" s="34"/>
      <c r="K71" s="27" t="str">
        <f aca="false">IF(H71="","",MAX(0,H71-IF(I71="",0,I71)))</f>
        <v/>
      </c>
      <c r="L71" s="25" t="str">
        <f aca="true">IF(H71="","",IF(I71&gt;=H71,"✅ Paid",IF(G71&lt;TODAY(),"🔴 Overdue",IF(G71&lt;=TODAY()+90,"🟡 Due Soon","⬜ Upcoming"))))</f>
        <v/>
      </c>
    </row>
    <row r="72" customFormat="false" ht="15" hidden="false" customHeight="false" outlineLevel="0" collapsed="false">
      <c r="A72" s="24" t="n">
        <v>70</v>
      </c>
      <c r="C72" s="26"/>
      <c r="D72" s="25" t="n">
        <f aca="false">IFERROR(INDEX('DATA ENTRY'!$S:$S,MATCH(C72,'DATA ENTRY'!$B:$B,0)),"")</f>
        <v>0</v>
      </c>
      <c r="E72" s="25" t="n">
        <f aca="false">IFERROR(INDEX('DATA ENTRY'!$C:$C,MATCH(C72,'DATA ENTRY'!$B:$B,0)),"")</f>
        <v>0</v>
      </c>
      <c r="F72" s="25" t="n">
        <f aca="false">IFERROR(INDEX('DATA ENTRY'!$E:$E,MATCH(C72,'DATA ENTRY'!$B:$B,0)),"")</f>
        <v>0</v>
      </c>
      <c r="G72" s="34"/>
      <c r="H72" s="35"/>
      <c r="I72" s="35"/>
      <c r="J72" s="34"/>
      <c r="K72" s="27" t="str">
        <f aca="false">IF(H72="","",MAX(0,H72-IF(I72="",0,I72)))</f>
        <v/>
      </c>
      <c r="L72" s="25" t="str">
        <f aca="true">IF(H72="","",IF(I72&gt;=H72,"✅ Paid",IF(G72&lt;TODAY(),"🔴 Overdue",IF(G72&lt;=TODAY()+90,"🟡 Due Soon","⬜ Upcoming"))))</f>
        <v/>
      </c>
    </row>
    <row r="73" customFormat="false" ht="15" hidden="false" customHeight="false" outlineLevel="0" collapsed="false">
      <c r="A73" s="24" t="n">
        <v>71</v>
      </c>
      <c r="C73" s="26"/>
      <c r="D73" s="25" t="n">
        <f aca="false">IFERROR(INDEX('DATA ENTRY'!$S:$S,MATCH(C73,'DATA ENTRY'!$B:$B,0)),"")</f>
        <v>0</v>
      </c>
      <c r="E73" s="25" t="n">
        <f aca="false">IFERROR(INDEX('DATA ENTRY'!$C:$C,MATCH(C73,'DATA ENTRY'!$B:$B,0)),"")</f>
        <v>0</v>
      </c>
      <c r="F73" s="25" t="n">
        <f aca="false">IFERROR(INDEX('DATA ENTRY'!$E:$E,MATCH(C73,'DATA ENTRY'!$B:$B,0)),"")</f>
        <v>0</v>
      </c>
      <c r="G73" s="34"/>
      <c r="H73" s="35"/>
      <c r="I73" s="35"/>
      <c r="J73" s="34"/>
      <c r="K73" s="27" t="str">
        <f aca="false">IF(H73="","",MAX(0,H73-IF(I73="",0,I73)))</f>
        <v/>
      </c>
      <c r="L73" s="25" t="str">
        <f aca="true">IF(H73="","",IF(I73&gt;=H73,"✅ Paid",IF(G73&lt;TODAY(),"🔴 Overdue",IF(G73&lt;=TODAY()+90,"🟡 Due Soon","⬜ Upcoming"))))</f>
        <v/>
      </c>
    </row>
    <row r="74" customFormat="false" ht="15" hidden="false" customHeight="false" outlineLevel="0" collapsed="false">
      <c r="A74" s="24" t="n">
        <v>72</v>
      </c>
      <c r="C74" s="26"/>
      <c r="D74" s="25" t="n">
        <f aca="false">IFERROR(INDEX('DATA ENTRY'!$S:$S,MATCH(C74,'DATA ENTRY'!$B:$B,0)),"")</f>
        <v>0</v>
      </c>
      <c r="E74" s="25" t="n">
        <f aca="false">IFERROR(INDEX('DATA ENTRY'!$C:$C,MATCH(C74,'DATA ENTRY'!$B:$B,0)),"")</f>
        <v>0</v>
      </c>
      <c r="F74" s="25" t="n">
        <f aca="false">IFERROR(INDEX('DATA ENTRY'!$E:$E,MATCH(C74,'DATA ENTRY'!$B:$B,0)),"")</f>
        <v>0</v>
      </c>
      <c r="G74" s="34"/>
      <c r="H74" s="35"/>
      <c r="I74" s="35"/>
      <c r="J74" s="34"/>
      <c r="K74" s="27" t="str">
        <f aca="false">IF(H74="","",MAX(0,H74-IF(I74="",0,I74)))</f>
        <v/>
      </c>
      <c r="L74" s="25" t="str">
        <f aca="true">IF(H74="","",IF(I74&gt;=H74,"✅ Paid",IF(G74&lt;TODAY(),"🔴 Overdue",IF(G74&lt;=TODAY()+90,"🟡 Due Soon","⬜ Upcoming"))))</f>
        <v/>
      </c>
    </row>
    <row r="75" customFormat="false" ht="15" hidden="false" customHeight="false" outlineLevel="0" collapsed="false">
      <c r="A75" s="24" t="n">
        <v>73</v>
      </c>
      <c r="C75" s="26"/>
      <c r="D75" s="25" t="n">
        <f aca="false">IFERROR(INDEX('DATA ENTRY'!$S:$S,MATCH(C75,'DATA ENTRY'!$B:$B,0)),"")</f>
        <v>0</v>
      </c>
      <c r="E75" s="25" t="n">
        <f aca="false">IFERROR(INDEX('DATA ENTRY'!$C:$C,MATCH(C75,'DATA ENTRY'!$B:$B,0)),"")</f>
        <v>0</v>
      </c>
      <c r="F75" s="25" t="n">
        <f aca="false">IFERROR(INDEX('DATA ENTRY'!$E:$E,MATCH(C75,'DATA ENTRY'!$B:$B,0)),"")</f>
        <v>0</v>
      </c>
      <c r="G75" s="34"/>
      <c r="H75" s="35"/>
      <c r="I75" s="35"/>
      <c r="J75" s="34"/>
      <c r="K75" s="27" t="str">
        <f aca="false">IF(H75="","",MAX(0,H75-IF(I75="",0,I75)))</f>
        <v/>
      </c>
      <c r="L75" s="25" t="str">
        <f aca="true">IF(H75="","",IF(I75&gt;=H75,"✅ Paid",IF(G75&lt;TODAY(),"🔴 Overdue",IF(G75&lt;=TODAY()+90,"🟡 Due Soon","⬜ Upcoming"))))</f>
        <v/>
      </c>
    </row>
    <row r="76" customFormat="false" ht="15" hidden="false" customHeight="false" outlineLevel="0" collapsed="false">
      <c r="A76" s="24" t="n">
        <v>74</v>
      </c>
      <c r="C76" s="26"/>
      <c r="D76" s="25" t="n">
        <f aca="false">IFERROR(INDEX('DATA ENTRY'!$S:$S,MATCH(C76,'DATA ENTRY'!$B:$B,0)),"")</f>
        <v>0</v>
      </c>
      <c r="E76" s="25" t="n">
        <f aca="false">IFERROR(INDEX('DATA ENTRY'!$C:$C,MATCH(C76,'DATA ENTRY'!$B:$B,0)),"")</f>
        <v>0</v>
      </c>
      <c r="F76" s="25" t="n">
        <f aca="false">IFERROR(INDEX('DATA ENTRY'!$E:$E,MATCH(C76,'DATA ENTRY'!$B:$B,0)),"")</f>
        <v>0</v>
      </c>
      <c r="G76" s="34"/>
      <c r="H76" s="35"/>
      <c r="I76" s="35"/>
      <c r="J76" s="34"/>
      <c r="K76" s="27" t="str">
        <f aca="false">IF(H76="","",MAX(0,H76-IF(I76="",0,I76)))</f>
        <v/>
      </c>
      <c r="L76" s="25" t="str">
        <f aca="true">IF(H76="","",IF(I76&gt;=H76,"✅ Paid",IF(G76&lt;TODAY(),"🔴 Overdue",IF(G76&lt;=TODAY()+90,"🟡 Due Soon","⬜ Upcoming"))))</f>
        <v/>
      </c>
    </row>
    <row r="77" customFormat="false" ht="15" hidden="false" customHeight="false" outlineLevel="0" collapsed="false">
      <c r="A77" s="24" t="n">
        <v>75</v>
      </c>
      <c r="C77" s="26"/>
      <c r="D77" s="25" t="n">
        <f aca="false">IFERROR(INDEX('DATA ENTRY'!$S:$S,MATCH(C77,'DATA ENTRY'!$B:$B,0)),"")</f>
        <v>0</v>
      </c>
      <c r="E77" s="25" t="n">
        <f aca="false">IFERROR(INDEX('DATA ENTRY'!$C:$C,MATCH(C77,'DATA ENTRY'!$B:$B,0)),"")</f>
        <v>0</v>
      </c>
      <c r="F77" s="25" t="n">
        <f aca="false">IFERROR(INDEX('DATA ENTRY'!$E:$E,MATCH(C77,'DATA ENTRY'!$B:$B,0)),"")</f>
        <v>0</v>
      </c>
      <c r="G77" s="34"/>
      <c r="H77" s="35"/>
      <c r="I77" s="35"/>
      <c r="J77" s="34"/>
      <c r="K77" s="27" t="str">
        <f aca="false">IF(H77="","",MAX(0,H77-IF(I77="",0,I77)))</f>
        <v/>
      </c>
      <c r="L77" s="25" t="str">
        <f aca="true">IF(H77="","",IF(I77&gt;=H77,"✅ Paid",IF(G77&lt;TODAY(),"🔴 Overdue",IF(G77&lt;=TODAY()+90,"🟡 Due Soon","⬜ Upcoming"))))</f>
        <v/>
      </c>
    </row>
    <row r="78" customFormat="false" ht="15" hidden="false" customHeight="false" outlineLevel="0" collapsed="false">
      <c r="A78" s="24" t="n">
        <v>76</v>
      </c>
      <c r="C78" s="26"/>
      <c r="D78" s="25" t="n">
        <f aca="false">IFERROR(INDEX('DATA ENTRY'!$S:$S,MATCH(C78,'DATA ENTRY'!$B:$B,0)),"")</f>
        <v>0</v>
      </c>
      <c r="E78" s="25" t="n">
        <f aca="false">IFERROR(INDEX('DATA ENTRY'!$C:$C,MATCH(C78,'DATA ENTRY'!$B:$B,0)),"")</f>
        <v>0</v>
      </c>
      <c r="F78" s="25" t="n">
        <f aca="false">IFERROR(INDEX('DATA ENTRY'!$E:$E,MATCH(C78,'DATA ENTRY'!$B:$B,0)),"")</f>
        <v>0</v>
      </c>
      <c r="G78" s="34"/>
      <c r="H78" s="35"/>
      <c r="I78" s="35"/>
      <c r="J78" s="34"/>
      <c r="K78" s="27" t="str">
        <f aca="false">IF(H78="","",MAX(0,H78-IF(I78="",0,I78)))</f>
        <v/>
      </c>
      <c r="L78" s="25" t="str">
        <f aca="true">IF(H78="","",IF(I78&gt;=H78,"✅ Paid",IF(G78&lt;TODAY(),"🔴 Overdue",IF(G78&lt;=TODAY()+90,"🟡 Due Soon","⬜ Upcoming"))))</f>
        <v/>
      </c>
    </row>
    <row r="79" customFormat="false" ht="15" hidden="false" customHeight="false" outlineLevel="0" collapsed="false">
      <c r="A79" s="24" t="n">
        <v>77</v>
      </c>
      <c r="C79" s="26"/>
      <c r="D79" s="25" t="n">
        <f aca="false">IFERROR(INDEX('DATA ENTRY'!$S:$S,MATCH(C79,'DATA ENTRY'!$B:$B,0)),"")</f>
        <v>0</v>
      </c>
      <c r="E79" s="25" t="n">
        <f aca="false">IFERROR(INDEX('DATA ENTRY'!$C:$C,MATCH(C79,'DATA ENTRY'!$B:$B,0)),"")</f>
        <v>0</v>
      </c>
      <c r="F79" s="25" t="n">
        <f aca="false">IFERROR(INDEX('DATA ENTRY'!$E:$E,MATCH(C79,'DATA ENTRY'!$B:$B,0)),"")</f>
        <v>0</v>
      </c>
      <c r="G79" s="34"/>
      <c r="H79" s="35"/>
      <c r="I79" s="35"/>
      <c r="J79" s="34"/>
      <c r="K79" s="27" t="str">
        <f aca="false">IF(H79="","",MAX(0,H79-IF(I79="",0,I79)))</f>
        <v/>
      </c>
      <c r="L79" s="25" t="str">
        <f aca="true">IF(H79="","",IF(I79&gt;=H79,"✅ Paid",IF(G79&lt;TODAY(),"🔴 Overdue",IF(G79&lt;=TODAY()+90,"🟡 Due Soon","⬜ Upcoming"))))</f>
        <v/>
      </c>
    </row>
    <row r="80" customFormat="false" ht="15" hidden="false" customHeight="false" outlineLevel="0" collapsed="false">
      <c r="A80" s="24" t="n">
        <v>78</v>
      </c>
      <c r="C80" s="26"/>
      <c r="D80" s="25" t="n">
        <f aca="false">IFERROR(INDEX('DATA ENTRY'!$S:$S,MATCH(C80,'DATA ENTRY'!$B:$B,0)),"")</f>
        <v>0</v>
      </c>
      <c r="E80" s="25" t="n">
        <f aca="false">IFERROR(INDEX('DATA ENTRY'!$C:$C,MATCH(C80,'DATA ENTRY'!$B:$B,0)),"")</f>
        <v>0</v>
      </c>
      <c r="F80" s="25" t="n">
        <f aca="false">IFERROR(INDEX('DATA ENTRY'!$E:$E,MATCH(C80,'DATA ENTRY'!$B:$B,0)),"")</f>
        <v>0</v>
      </c>
      <c r="G80" s="34"/>
      <c r="H80" s="35"/>
      <c r="I80" s="35"/>
      <c r="J80" s="34"/>
      <c r="K80" s="27" t="str">
        <f aca="false">IF(H80="","",MAX(0,H80-IF(I80="",0,I80)))</f>
        <v/>
      </c>
      <c r="L80" s="25" t="str">
        <f aca="true">IF(H80="","",IF(I80&gt;=H80,"✅ Paid",IF(G80&lt;TODAY(),"🔴 Overdue",IF(G80&lt;=TODAY()+90,"🟡 Due Soon","⬜ Upcoming"))))</f>
        <v/>
      </c>
    </row>
    <row r="81" customFormat="false" ht="15" hidden="false" customHeight="false" outlineLevel="0" collapsed="false">
      <c r="A81" s="24" t="n">
        <v>79</v>
      </c>
      <c r="C81" s="26"/>
      <c r="D81" s="25" t="n">
        <f aca="false">IFERROR(INDEX('DATA ENTRY'!$S:$S,MATCH(C81,'DATA ENTRY'!$B:$B,0)),"")</f>
        <v>0</v>
      </c>
      <c r="E81" s="25" t="n">
        <f aca="false">IFERROR(INDEX('DATA ENTRY'!$C:$C,MATCH(C81,'DATA ENTRY'!$B:$B,0)),"")</f>
        <v>0</v>
      </c>
      <c r="F81" s="25" t="n">
        <f aca="false">IFERROR(INDEX('DATA ENTRY'!$E:$E,MATCH(C81,'DATA ENTRY'!$B:$B,0)),"")</f>
        <v>0</v>
      </c>
      <c r="G81" s="34"/>
      <c r="H81" s="35"/>
      <c r="I81" s="35"/>
      <c r="J81" s="34"/>
      <c r="K81" s="27" t="str">
        <f aca="false">IF(H81="","",MAX(0,H81-IF(I81="",0,I81)))</f>
        <v/>
      </c>
      <c r="L81" s="25" t="str">
        <f aca="true">IF(H81="","",IF(I81&gt;=H81,"✅ Paid",IF(G81&lt;TODAY(),"🔴 Overdue",IF(G81&lt;=TODAY()+90,"🟡 Due Soon","⬜ Upcoming"))))</f>
        <v/>
      </c>
    </row>
    <row r="82" customFormat="false" ht="15" hidden="false" customHeight="false" outlineLevel="0" collapsed="false">
      <c r="A82" s="24" t="n">
        <v>80</v>
      </c>
      <c r="C82" s="26"/>
      <c r="D82" s="25" t="n">
        <f aca="false">IFERROR(INDEX('DATA ENTRY'!$S:$S,MATCH(C82,'DATA ENTRY'!$B:$B,0)),"")</f>
        <v>0</v>
      </c>
      <c r="E82" s="25" t="n">
        <f aca="false">IFERROR(INDEX('DATA ENTRY'!$C:$C,MATCH(C82,'DATA ENTRY'!$B:$B,0)),"")</f>
        <v>0</v>
      </c>
      <c r="F82" s="25" t="n">
        <f aca="false">IFERROR(INDEX('DATA ENTRY'!$E:$E,MATCH(C82,'DATA ENTRY'!$B:$B,0)),"")</f>
        <v>0</v>
      </c>
      <c r="G82" s="34"/>
      <c r="H82" s="35"/>
      <c r="I82" s="35"/>
      <c r="J82" s="34"/>
      <c r="K82" s="27" t="str">
        <f aca="false">IF(H82="","",MAX(0,H82-IF(I82="",0,I82)))</f>
        <v/>
      </c>
      <c r="L82" s="25" t="str">
        <f aca="true">IF(H82="","",IF(I82&gt;=H82,"✅ Paid",IF(G82&lt;TODAY(),"🔴 Overdue",IF(G82&lt;=TODAY()+90,"🟡 Due Soon","⬜ Upcoming"))))</f>
        <v/>
      </c>
    </row>
    <row r="83" customFormat="false" ht="15" hidden="false" customHeight="false" outlineLevel="0" collapsed="false">
      <c r="A83" s="24" t="n">
        <v>81</v>
      </c>
      <c r="C83" s="26"/>
      <c r="D83" s="25" t="n">
        <f aca="false">IFERROR(INDEX('DATA ENTRY'!$S:$S,MATCH(C83,'DATA ENTRY'!$B:$B,0)),"")</f>
        <v>0</v>
      </c>
      <c r="E83" s="25" t="n">
        <f aca="false">IFERROR(INDEX('DATA ENTRY'!$C:$C,MATCH(C83,'DATA ENTRY'!$B:$B,0)),"")</f>
        <v>0</v>
      </c>
      <c r="F83" s="25" t="n">
        <f aca="false">IFERROR(INDEX('DATA ENTRY'!$E:$E,MATCH(C83,'DATA ENTRY'!$B:$B,0)),"")</f>
        <v>0</v>
      </c>
      <c r="G83" s="34"/>
      <c r="H83" s="35"/>
      <c r="I83" s="35"/>
      <c r="J83" s="34"/>
      <c r="K83" s="27" t="str">
        <f aca="false">IF(H83="","",MAX(0,H83-IF(I83="",0,I83)))</f>
        <v/>
      </c>
      <c r="L83" s="25" t="str">
        <f aca="true">IF(H83="","",IF(I83&gt;=H83,"✅ Paid",IF(G83&lt;TODAY(),"🔴 Overdue",IF(G83&lt;=TODAY()+90,"🟡 Due Soon","⬜ Upcoming"))))</f>
        <v/>
      </c>
    </row>
    <row r="84" customFormat="false" ht="15" hidden="false" customHeight="false" outlineLevel="0" collapsed="false">
      <c r="A84" s="24" t="n">
        <v>82</v>
      </c>
      <c r="C84" s="26"/>
      <c r="D84" s="25" t="n">
        <f aca="false">IFERROR(INDEX('DATA ENTRY'!$S:$S,MATCH(C84,'DATA ENTRY'!$B:$B,0)),"")</f>
        <v>0</v>
      </c>
      <c r="E84" s="25" t="n">
        <f aca="false">IFERROR(INDEX('DATA ENTRY'!$C:$C,MATCH(C84,'DATA ENTRY'!$B:$B,0)),"")</f>
        <v>0</v>
      </c>
      <c r="F84" s="25" t="n">
        <f aca="false">IFERROR(INDEX('DATA ENTRY'!$E:$E,MATCH(C84,'DATA ENTRY'!$B:$B,0)),"")</f>
        <v>0</v>
      </c>
      <c r="G84" s="34"/>
      <c r="H84" s="35"/>
      <c r="I84" s="35"/>
      <c r="J84" s="34"/>
      <c r="K84" s="27" t="str">
        <f aca="false">IF(H84="","",MAX(0,H84-IF(I84="",0,I84)))</f>
        <v/>
      </c>
      <c r="L84" s="25" t="str">
        <f aca="true">IF(H84="","",IF(I84&gt;=H84,"✅ Paid",IF(G84&lt;TODAY(),"🔴 Overdue",IF(G84&lt;=TODAY()+90,"🟡 Due Soon","⬜ Upcoming"))))</f>
        <v/>
      </c>
    </row>
    <row r="85" customFormat="false" ht="15" hidden="false" customHeight="false" outlineLevel="0" collapsed="false">
      <c r="A85" s="24" t="n">
        <v>83</v>
      </c>
      <c r="C85" s="26"/>
      <c r="D85" s="25" t="n">
        <f aca="false">IFERROR(INDEX('DATA ENTRY'!$S:$S,MATCH(C85,'DATA ENTRY'!$B:$B,0)),"")</f>
        <v>0</v>
      </c>
      <c r="E85" s="25" t="n">
        <f aca="false">IFERROR(INDEX('DATA ENTRY'!$C:$C,MATCH(C85,'DATA ENTRY'!$B:$B,0)),"")</f>
        <v>0</v>
      </c>
      <c r="F85" s="25" t="n">
        <f aca="false">IFERROR(INDEX('DATA ENTRY'!$E:$E,MATCH(C85,'DATA ENTRY'!$B:$B,0)),"")</f>
        <v>0</v>
      </c>
      <c r="G85" s="34"/>
      <c r="H85" s="35"/>
      <c r="I85" s="35"/>
      <c r="J85" s="34"/>
      <c r="K85" s="27" t="str">
        <f aca="false">IF(H85="","",MAX(0,H85-IF(I85="",0,I85)))</f>
        <v/>
      </c>
      <c r="L85" s="25" t="str">
        <f aca="true">IF(H85="","",IF(I85&gt;=H85,"✅ Paid",IF(G85&lt;TODAY(),"🔴 Overdue",IF(G85&lt;=TODAY()+90,"🟡 Due Soon","⬜ Upcoming"))))</f>
        <v/>
      </c>
    </row>
    <row r="86" customFormat="false" ht="15" hidden="false" customHeight="false" outlineLevel="0" collapsed="false">
      <c r="A86" s="24" t="n">
        <v>84</v>
      </c>
      <c r="C86" s="26"/>
      <c r="D86" s="25" t="n">
        <f aca="false">IFERROR(INDEX('DATA ENTRY'!$S:$S,MATCH(C86,'DATA ENTRY'!$B:$B,0)),"")</f>
        <v>0</v>
      </c>
      <c r="E86" s="25" t="n">
        <f aca="false">IFERROR(INDEX('DATA ENTRY'!$C:$C,MATCH(C86,'DATA ENTRY'!$B:$B,0)),"")</f>
        <v>0</v>
      </c>
      <c r="F86" s="25" t="n">
        <f aca="false">IFERROR(INDEX('DATA ENTRY'!$E:$E,MATCH(C86,'DATA ENTRY'!$B:$B,0)),"")</f>
        <v>0</v>
      </c>
      <c r="G86" s="34"/>
      <c r="H86" s="35"/>
      <c r="I86" s="35"/>
      <c r="J86" s="34"/>
      <c r="K86" s="27" t="str">
        <f aca="false">IF(H86="","",MAX(0,H86-IF(I86="",0,I86)))</f>
        <v/>
      </c>
      <c r="L86" s="25" t="str">
        <f aca="true">IF(H86="","",IF(I86&gt;=H86,"✅ Paid",IF(G86&lt;TODAY(),"🔴 Overdue",IF(G86&lt;=TODAY()+90,"🟡 Due Soon","⬜ Upcoming"))))</f>
        <v/>
      </c>
    </row>
    <row r="87" customFormat="false" ht="15" hidden="false" customHeight="false" outlineLevel="0" collapsed="false">
      <c r="A87" s="24" t="n">
        <v>85</v>
      </c>
      <c r="C87" s="26"/>
      <c r="D87" s="25" t="n">
        <f aca="false">IFERROR(INDEX('DATA ENTRY'!$S:$S,MATCH(C87,'DATA ENTRY'!$B:$B,0)),"")</f>
        <v>0</v>
      </c>
      <c r="E87" s="25" t="n">
        <f aca="false">IFERROR(INDEX('DATA ENTRY'!$C:$C,MATCH(C87,'DATA ENTRY'!$B:$B,0)),"")</f>
        <v>0</v>
      </c>
      <c r="F87" s="25" t="n">
        <f aca="false">IFERROR(INDEX('DATA ENTRY'!$E:$E,MATCH(C87,'DATA ENTRY'!$B:$B,0)),"")</f>
        <v>0</v>
      </c>
      <c r="G87" s="34"/>
      <c r="H87" s="35"/>
      <c r="I87" s="35"/>
      <c r="J87" s="34"/>
      <c r="K87" s="27" t="str">
        <f aca="false">IF(H87="","",MAX(0,H87-IF(I87="",0,I87)))</f>
        <v/>
      </c>
      <c r="L87" s="25" t="str">
        <f aca="true">IF(H87="","",IF(I87&gt;=H87,"✅ Paid",IF(G87&lt;TODAY(),"🔴 Overdue",IF(G87&lt;=TODAY()+90,"🟡 Due Soon","⬜ Upcoming"))))</f>
        <v/>
      </c>
    </row>
    <row r="88" customFormat="false" ht="15" hidden="false" customHeight="false" outlineLevel="0" collapsed="false">
      <c r="A88" s="24" t="n">
        <v>86</v>
      </c>
      <c r="C88" s="26"/>
      <c r="D88" s="25" t="n">
        <f aca="false">IFERROR(INDEX('DATA ENTRY'!$S:$S,MATCH(C88,'DATA ENTRY'!$B:$B,0)),"")</f>
        <v>0</v>
      </c>
      <c r="E88" s="25" t="n">
        <f aca="false">IFERROR(INDEX('DATA ENTRY'!$C:$C,MATCH(C88,'DATA ENTRY'!$B:$B,0)),"")</f>
        <v>0</v>
      </c>
      <c r="F88" s="25" t="n">
        <f aca="false">IFERROR(INDEX('DATA ENTRY'!$E:$E,MATCH(C88,'DATA ENTRY'!$B:$B,0)),"")</f>
        <v>0</v>
      </c>
      <c r="G88" s="34"/>
      <c r="H88" s="35"/>
      <c r="I88" s="35"/>
      <c r="J88" s="34"/>
      <c r="K88" s="27" t="str">
        <f aca="false">IF(H88="","",MAX(0,H88-IF(I88="",0,I88)))</f>
        <v/>
      </c>
      <c r="L88" s="25" t="str">
        <f aca="true">IF(H88="","",IF(I88&gt;=H88,"✅ Paid",IF(G88&lt;TODAY(),"🔴 Overdue",IF(G88&lt;=TODAY()+90,"🟡 Due Soon","⬜ Upcoming"))))</f>
        <v/>
      </c>
    </row>
    <row r="89" customFormat="false" ht="15" hidden="false" customHeight="false" outlineLevel="0" collapsed="false">
      <c r="A89" s="24" t="n">
        <v>87</v>
      </c>
      <c r="C89" s="26"/>
      <c r="D89" s="25" t="n">
        <f aca="false">IFERROR(INDEX('DATA ENTRY'!$S:$S,MATCH(C89,'DATA ENTRY'!$B:$B,0)),"")</f>
        <v>0</v>
      </c>
      <c r="E89" s="25" t="n">
        <f aca="false">IFERROR(INDEX('DATA ENTRY'!$C:$C,MATCH(C89,'DATA ENTRY'!$B:$B,0)),"")</f>
        <v>0</v>
      </c>
      <c r="F89" s="25" t="n">
        <f aca="false">IFERROR(INDEX('DATA ENTRY'!$E:$E,MATCH(C89,'DATA ENTRY'!$B:$B,0)),"")</f>
        <v>0</v>
      </c>
      <c r="G89" s="34"/>
      <c r="H89" s="35"/>
      <c r="I89" s="35"/>
      <c r="J89" s="34"/>
      <c r="K89" s="27" t="str">
        <f aca="false">IF(H89="","",MAX(0,H89-IF(I89="",0,I89)))</f>
        <v/>
      </c>
      <c r="L89" s="25" t="str">
        <f aca="true">IF(H89="","",IF(I89&gt;=H89,"✅ Paid",IF(G89&lt;TODAY(),"🔴 Overdue",IF(G89&lt;=TODAY()+90,"🟡 Due Soon","⬜ Upcoming"))))</f>
        <v/>
      </c>
    </row>
    <row r="90" customFormat="false" ht="15" hidden="false" customHeight="false" outlineLevel="0" collapsed="false">
      <c r="A90" s="24" t="n">
        <v>88</v>
      </c>
      <c r="C90" s="26"/>
      <c r="D90" s="25" t="n">
        <f aca="false">IFERROR(INDEX('DATA ENTRY'!$S:$S,MATCH(C90,'DATA ENTRY'!$B:$B,0)),"")</f>
        <v>0</v>
      </c>
      <c r="E90" s="25" t="n">
        <f aca="false">IFERROR(INDEX('DATA ENTRY'!$C:$C,MATCH(C90,'DATA ENTRY'!$B:$B,0)),"")</f>
        <v>0</v>
      </c>
      <c r="F90" s="25" t="n">
        <f aca="false">IFERROR(INDEX('DATA ENTRY'!$E:$E,MATCH(C90,'DATA ENTRY'!$B:$B,0)),"")</f>
        <v>0</v>
      </c>
      <c r="G90" s="34"/>
      <c r="H90" s="35"/>
      <c r="I90" s="35"/>
      <c r="J90" s="34"/>
      <c r="K90" s="27" t="str">
        <f aca="false">IF(H90="","",MAX(0,H90-IF(I90="",0,I90)))</f>
        <v/>
      </c>
      <c r="L90" s="25" t="str">
        <f aca="true">IF(H90="","",IF(I90&gt;=H90,"✅ Paid",IF(G90&lt;TODAY(),"🔴 Overdue",IF(G90&lt;=TODAY()+90,"🟡 Due Soon","⬜ Upcoming"))))</f>
        <v/>
      </c>
    </row>
    <row r="91" customFormat="false" ht="15" hidden="false" customHeight="false" outlineLevel="0" collapsed="false">
      <c r="A91" s="24" t="n">
        <v>89</v>
      </c>
      <c r="C91" s="26"/>
      <c r="D91" s="25" t="n">
        <f aca="false">IFERROR(INDEX('DATA ENTRY'!$S:$S,MATCH(C91,'DATA ENTRY'!$B:$B,0)),"")</f>
        <v>0</v>
      </c>
      <c r="E91" s="25" t="n">
        <f aca="false">IFERROR(INDEX('DATA ENTRY'!$C:$C,MATCH(C91,'DATA ENTRY'!$B:$B,0)),"")</f>
        <v>0</v>
      </c>
      <c r="F91" s="25" t="n">
        <f aca="false">IFERROR(INDEX('DATA ENTRY'!$E:$E,MATCH(C91,'DATA ENTRY'!$B:$B,0)),"")</f>
        <v>0</v>
      </c>
      <c r="G91" s="34"/>
      <c r="H91" s="35"/>
      <c r="I91" s="35"/>
      <c r="J91" s="34"/>
      <c r="K91" s="27" t="str">
        <f aca="false">IF(H91="","",MAX(0,H91-IF(I91="",0,I91)))</f>
        <v/>
      </c>
      <c r="L91" s="25" t="str">
        <f aca="true">IF(H91="","",IF(I91&gt;=H91,"✅ Paid",IF(G91&lt;TODAY(),"🔴 Overdue",IF(G91&lt;=TODAY()+90,"🟡 Due Soon","⬜ Upcoming"))))</f>
        <v/>
      </c>
    </row>
    <row r="92" customFormat="false" ht="15" hidden="false" customHeight="false" outlineLevel="0" collapsed="false">
      <c r="A92" s="24" t="n">
        <v>90</v>
      </c>
      <c r="C92" s="26"/>
      <c r="D92" s="25" t="n">
        <f aca="false">IFERROR(INDEX('DATA ENTRY'!$S:$S,MATCH(C92,'DATA ENTRY'!$B:$B,0)),"")</f>
        <v>0</v>
      </c>
      <c r="E92" s="25" t="n">
        <f aca="false">IFERROR(INDEX('DATA ENTRY'!$C:$C,MATCH(C92,'DATA ENTRY'!$B:$B,0)),"")</f>
        <v>0</v>
      </c>
      <c r="F92" s="25" t="n">
        <f aca="false">IFERROR(INDEX('DATA ENTRY'!$E:$E,MATCH(C92,'DATA ENTRY'!$B:$B,0)),"")</f>
        <v>0</v>
      </c>
      <c r="G92" s="34"/>
      <c r="H92" s="35"/>
      <c r="I92" s="35"/>
      <c r="J92" s="34"/>
      <c r="K92" s="27" t="str">
        <f aca="false">IF(H92="","",MAX(0,H92-IF(I92="",0,I92)))</f>
        <v/>
      </c>
      <c r="L92" s="25" t="str">
        <f aca="true">IF(H92="","",IF(I92&gt;=H92,"✅ Paid",IF(G92&lt;TODAY(),"🔴 Overdue",IF(G92&lt;=TODAY()+90,"🟡 Due Soon","⬜ Upcoming"))))</f>
        <v/>
      </c>
    </row>
    <row r="93" customFormat="false" ht="15" hidden="false" customHeight="false" outlineLevel="0" collapsed="false">
      <c r="A93" s="24" t="n">
        <v>91</v>
      </c>
      <c r="C93" s="26"/>
      <c r="D93" s="25" t="n">
        <f aca="false">IFERROR(INDEX('DATA ENTRY'!$S:$S,MATCH(C93,'DATA ENTRY'!$B:$B,0)),"")</f>
        <v>0</v>
      </c>
      <c r="E93" s="25" t="n">
        <f aca="false">IFERROR(INDEX('DATA ENTRY'!$C:$C,MATCH(C93,'DATA ENTRY'!$B:$B,0)),"")</f>
        <v>0</v>
      </c>
      <c r="F93" s="25" t="n">
        <f aca="false">IFERROR(INDEX('DATA ENTRY'!$E:$E,MATCH(C93,'DATA ENTRY'!$B:$B,0)),"")</f>
        <v>0</v>
      </c>
      <c r="G93" s="34"/>
      <c r="H93" s="35"/>
      <c r="I93" s="35"/>
      <c r="J93" s="34"/>
      <c r="K93" s="27" t="str">
        <f aca="false">IF(H93="","",MAX(0,H93-IF(I93="",0,I93)))</f>
        <v/>
      </c>
      <c r="L93" s="25" t="str">
        <f aca="true">IF(H93="","",IF(I93&gt;=H93,"✅ Paid",IF(G93&lt;TODAY(),"🔴 Overdue",IF(G93&lt;=TODAY()+90,"🟡 Due Soon","⬜ Upcoming"))))</f>
        <v/>
      </c>
    </row>
    <row r="94" customFormat="false" ht="15" hidden="false" customHeight="false" outlineLevel="0" collapsed="false">
      <c r="A94" s="24" t="n">
        <v>92</v>
      </c>
      <c r="C94" s="26"/>
      <c r="D94" s="25" t="n">
        <f aca="false">IFERROR(INDEX('DATA ENTRY'!$S:$S,MATCH(C94,'DATA ENTRY'!$B:$B,0)),"")</f>
        <v>0</v>
      </c>
      <c r="E94" s="25" t="n">
        <f aca="false">IFERROR(INDEX('DATA ENTRY'!$C:$C,MATCH(C94,'DATA ENTRY'!$B:$B,0)),"")</f>
        <v>0</v>
      </c>
      <c r="F94" s="25" t="n">
        <f aca="false">IFERROR(INDEX('DATA ENTRY'!$E:$E,MATCH(C94,'DATA ENTRY'!$B:$B,0)),"")</f>
        <v>0</v>
      </c>
      <c r="G94" s="34"/>
      <c r="H94" s="35"/>
      <c r="I94" s="35"/>
      <c r="J94" s="34"/>
      <c r="K94" s="27" t="str">
        <f aca="false">IF(H94="","",MAX(0,H94-IF(I94="",0,I94)))</f>
        <v/>
      </c>
      <c r="L94" s="25" t="str">
        <f aca="true">IF(H94="","",IF(I94&gt;=H94,"✅ Paid",IF(G94&lt;TODAY(),"🔴 Overdue",IF(G94&lt;=TODAY()+90,"🟡 Due Soon","⬜ Upcoming"))))</f>
        <v/>
      </c>
    </row>
    <row r="95" customFormat="false" ht="15" hidden="false" customHeight="false" outlineLevel="0" collapsed="false">
      <c r="A95" s="24" t="n">
        <v>93</v>
      </c>
      <c r="C95" s="26"/>
      <c r="D95" s="25" t="n">
        <f aca="false">IFERROR(INDEX('DATA ENTRY'!$S:$S,MATCH(C95,'DATA ENTRY'!$B:$B,0)),"")</f>
        <v>0</v>
      </c>
      <c r="E95" s="25" t="n">
        <f aca="false">IFERROR(INDEX('DATA ENTRY'!$C:$C,MATCH(C95,'DATA ENTRY'!$B:$B,0)),"")</f>
        <v>0</v>
      </c>
      <c r="F95" s="25" t="n">
        <f aca="false">IFERROR(INDEX('DATA ENTRY'!$E:$E,MATCH(C95,'DATA ENTRY'!$B:$B,0)),"")</f>
        <v>0</v>
      </c>
      <c r="G95" s="34"/>
      <c r="H95" s="35"/>
      <c r="I95" s="35"/>
      <c r="J95" s="34"/>
      <c r="K95" s="27" t="str">
        <f aca="false">IF(H95="","",MAX(0,H95-IF(I95="",0,I95)))</f>
        <v/>
      </c>
      <c r="L95" s="25" t="str">
        <f aca="true">IF(H95="","",IF(I95&gt;=H95,"✅ Paid",IF(G95&lt;TODAY(),"🔴 Overdue",IF(G95&lt;=TODAY()+90,"🟡 Due Soon","⬜ Upcoming"))))</f>
        <v/>
      </c>
    </row>
    <row r="96" customFormat="false" ht="15" hidden="false" customHeight="false" outlineLevel="0" collapsed="false">
      <c r="A96" s="24" t="n">
        <v>94</v>
      </c>
      <c r="C96" s="26"/>
      <c r="D96" s="25" t="n">
        <f aca="false">IFERROR(INDEX('DATA ENTRY'!$S:$S,MATCH(C96,'DATA ENTRY'!$B:$B,0)),"")</f>
        <v>0</v>
      </c>
      <c r="E96" s="25" t="n">
        <f aca="false">IFERROR(INDEX('DATA ENTRY'!$C:$C,MATCH(C96,'DATA ENTRY'!$B:$B,0)),"")</f>
        <v>0</v>
      </c>
      <c r="F96" s="25" t="n">
        <f aca="false">IFERROR(INDEX('DATA ENTRY'!$E:$E,MATCH(C96,'DATA ENTRY'!$B:$B,0)),"")</f>
        <v>0</v>
      </c>
      <c r="G96" s="34"/>
      <c r="H96" s="35"/>
      <c r="I96" s="35"/>
      <c r="J96" s="34"/>
      <c r="K96" s="27" t="str">
        <f aca="false">IF(H96="","",MAX(0,H96-IF(I96="",0,I96)))</f>
        <v/>
      </c>
      <c r="L96" s="25" t="str">
        <f aca="true">IF(H96="","",IF(I96&gt;=H96,"✅ Paid",IF(G96&lt;TODAY(),"🔴 Overdue",IF(G96&lt;=TODAY()+90,"🟡 Due Soon","⬜ Upcoming"))))</f>
        <v/>
      </c>
    </row>
    <row r="97" customFormat="false" ht="15" hidden="false" customHeight="false" outlineLevel="0" collapsed="false">
      <c r="A97" s="24" t="n">
        <v>95</v>
      </c>
      <c r="C97" s="26"/>
      <c r="D97" s="25" t="n">
        <f aca="false">IFERROR(INDEX('DATA ENTRY'!$S:$S,MATCH(C97,'DATA ENTRY'!$B:$B,0)),"")</f>
        <v>0</v>
      </c>
      <c r="E97" s="25" t="n">
        <f aca="false">IFERROR(INDEX('DATA ENTRY'!$C:$C,MATCH(C97,'DATA ENTRY'!$B:$B,0)),"")</f>
        <v>0</v>
      </c>
      <c r="F97" s="25" t="n">
        <f aca="false">IFERROR(INDEX('DATA ENTRY'!$E:$E,MATCH(C97,'DATA ENTRY'!$B:$B,0)),"")</f>
        <v>0</v>
      </c>
      <c r="G97" s="34"/>
      <c r="H97" s="35"/>
      <c r="I97" s="35"/>
      <c r="J97" s="34"/>
      <c r="K97" s="27" t="str">
        <f aca="false">IF(H97="","",MAX(0,H97-IF(I97="",0,I97)))</f>
        <v/>
      </c>
      <c r="L97" s="25" t="str">
        <f aca="true">IF(H97="","",IF(I97&gt;=H97,"✅ Paid",IF(G97&lt;TODAY(),"🔴 Overdue",IF(G97&lt;=TODAY()+90,"🟡 Due Soon","⬜ Upcoming"))))</f>
        <v/>
      </c>
    </row>
    <row r="98" customFormat="false" ht="15" hidden="false" customHeight="false" outlineLevel="0" collapsed="false">
      <c r="A98" s="24" t="n">
        <v>96</v>
      </c>
      <c r="C98" s="26"/>
      <c r="D98" s="25" t="n">
        <f aca="false">IFERROR(INDEX('DATA ENTRY'!$S:$S,MATCH(C98,'DATA ENTRY'!$B:$B,0)),"")</f>
        <v>0</v>
      </c>
      <c r="E98" s="25" t="n">
        <f aca="false">IFERROR(INDEX('DATA ENTRY'!$C:$C,MATCH(C98,'DATA ENTRY'!$B:$B,0)),"")</f>
        <v>0</v>
      </c>
      <c r="F98" s="25" t="n">
        <f aca="false">IFERROR(INDEX('DATA ENTRY'!$E:$E,MATCH(C98,'DATA ENTRY'!$B:$B,0)),"")</f>
        <v>0</v>
      </c>
      <c r="G98" s="34"/>
      <c r="H98" s="35"/>
      <c r="I98" s="35"/>
      <c r="J98" s="34"/>
      <c r="K98" s="27" t="str">
        <f aca="false">IF(H98="","",MAX(0,H98-IF(I98="",0,I98)))</f>
        <v/>
      </c>
      <c r="L98" s="25" t="str">
        <f aca="true">IF(H98="","",IF(I98&gt;=H98,"✅ Paid",IF(G98&lt;TODAY(),"🔴 Overdue",IF(G98&lt;=TODAY()+90,"🟡 Due Soon","⬜ Upcoming"))))</f>
        <v/>
      </c>
    </row>
    <row r="99" customFormat="false" ht="15" hidden="false" customHeight="false" outlineLevel="0" collapsed="false">
      <c r="A99" s="24" t="n">
        <v>97</v>
      </c>
      <c r="C99" s="26"/>
      <c r="D99" s="25" t="n">
        <f aca="false">IFERROR(INDEX('DATA ENTRY'!$S:$S,MATCH(C99,'DATA ENTRY'!$B:$B,0)),"")</f>
        <v>0</v>
      </c>
      <c r="E99" s="25" t="n">
        <f aca="false">IFERROR(INDEX('DATA ENTRY'!$C:$C,MATCH(C99,'DATA ENTRY'!$B:$B,0)),"")</f>
        <v>0</v>
      </c>
      <c r="F99" s="25" t="n">
        <f aca="false">IFERROR(INDEX('DATA ENTRY'!$E:$E,MATCH(C99,'DATA ENTRY'!$B:$B,0)),"")</f>
        <v>0</v>
      </c>
      <c r="G99" s="34"/>
      <c r="H99" s="35"/>
      <c r="I99" s="35"/>
      <c r="J99" s="34"/>
      <c r="K99" s="27" t="str">
        <f aca="false">IF(H99="","",MAX(0,H99-IF(I99="",0,I99)))</f>
        <v/>
      </c>
      <c r="L99" s="25" t="str">
        <f aca="true">IF(H99="","",IF(I99&gt;=H99,"✅ Paid",IF(G99&lt;TODAY(),"🔴 Overdue",IF(G99&lt;=TODAY()+90,"🟡 Due Soon","⬜ Upcoming"))))</f>
        <v/>
      </c>
    </row>
    <row r="100" customFormat="false" ht="15" hidden="false" customHeight="false" outlineLevel="0" collapsed="false">
      <c r="A100" s="24" t="n">
        <v>98</v>
      </c>
      <c r="C100" s="26"/>
      <c r="D100" s="25" t="n">
        <f aca="false">IFERROR(INDEX('DATA ENTRY'!$S:$S,MATCH(C100,'DATA ENTRY'!$B:$B,0)),"")</f>
        <v>0</v>
      </c>
      <c r="E100" s="25" t="n">
        <f aca="false">IFERROR(INDEX('DATA ENTRY'!$C:$C,MATCH(C100,'DATA ENTRY'!$B:$B,0)),"")</f>
        <v>0</v>
      </c>
      <c r="F100" s="25" t="n">
        <f aca="false">IFERROR(INDEX('DATA ENTRY'!$E:$E,MATCH(C100,'DATA ENTRY'!$B:$B,0)),"")</f>
        <v>0</v>
      </c>
      <c r="G100" s="34"/>
      <c r="H100" s="35"/>
      <c r="I100" s="35"/>
      <c r="J100" s="34"/>
      <c r="K100" s="27" t="str">
        <f aca="false">IF(H100="","",MAX(0,H100-IF(I100="",0,I100)))</f>
        <v/>
      </c>
      <c r="L100" s="25" t="str">
        <f aca="true">IF(H100="","",IF(I100&gt;=H100,"✅ Paid",IF(G100&lt;TODAY(),"🔴 Overdue",IF(G100&lt;=TODAY()+90,"🟡 Due Soon","⬜ Upcoming"))))</f>
        <v/>
      </c>
    </row>
    <row r="101" customFormat="false" ht="15" hidden="false" customHeight="false" outlineLevel="0" collapsed="false">
      <c r="A101" s="24" t="n">
        <v>99</v>
      </c>
      <c r="C101" s="26"/>
      <c r="D101" s="25" t="n">
        <f aca="false">IFERROR(INDEX('DATA ENTRY'!$S:$S,MATCH(C101,'DATA ENTRY'!$B:$B,0)),"")</f>
        <v>0</v>
      </c>
      <c r="E101" s="25" t="n">
        <f aca="false">IFERROR(INDEX('DATA ENTRY'!$C:$C,MATCH(C101,'DATA ENTRY'!$B:$B,0)),"")</f>
        <v>0</v>
      </c>
      <c r="F101" s="25" t="n">
        <f aca="false">IFERROR(INDEX('DATA ENTRY'!$E:$E,MATCH(C101,'DATA ENTRY'!$B:$B,0)),"")</f>
        <v>0</v>
      </c>
      <c r="G101" s="34"/>
      <c r="H101" s="35"/>
      <c r="I101" s="35"/>
      <c r="J101" s="34"/>
      <c r="K101" s="27" t="str">
        <f aca="false">IF(H101="","",MAX(0,H101-IF(I101="",0,I101)))</f>
        <v/>
      </c>
      <c r="L101" s="25" t="str">
        <f aca="true">IF(H101="","",IF(I101&gt;=H101,"✅ Paid",IF(G101&lt;TODAY(),"🔴 Overdue",IF(G101&lt;=TODAY()+90,"🟡 Due Soon","⬜ Upcoming"))))</f>
        <v/>
      </c>
    </row>
    <row r="102" customFormat="false" ht="15" hidden="false" customHeight="false" outlineLevel="0" collapsed="false">
      <c r="A102" s="24" t="n">
        <v>100</v>
      </c>
      <c r="C102" s="26"/>
      <c r="D102" s="25" t="n">
        <f aca="false">IFERROR(INDEX('DATA ENTRY'!$S:$S,MATCH(C102,'DATA ENTRY'!$B:$B,0)),"")</f>
        <v>0</v>
      </c>
      <c r="E102" s="25" t="n">
        <f aca="false">IFERROR(INDEX('DATA ENTRY'!$C:$C,MATCH(C102,'DATA ENTRY'!$B:$B,0)),"")</f>
        <v>0</v>
      </c>
      <c r="F102" s="25" t="n">
        <f aca="false">IFERROR(INDEX('DATA ENTRY'!$E:$E,MATCH(C102,'DATA ENTRY'!$B:$B,0)),"")</f>
        <v>0</v>
      </c>
      <c r="G102" s="34"/>
      <c r="H102" s="35"/>
      <c r="I102" s="35"/>
      <c r="J102" s="34"/>
      <c r="K102" s="27" t="str">
        <f aca="false">IF(H102="","",MAX(0,H102-IF(I102="",0,I102)))</f>
        <v/>
      </c>
      <c r="L102" s="25" t="str">
        <f aca="true">IF(H102="","",IF(I102&gt;=H102,"✅ Paid",IF(G102&lt;TODAY(),"🔴 Overdue",IF(G102&lt;=TODAY()+90,"🟡 Due Soon","⬜ Upcoming"))))</f>
        <v/>
      </c>
    </row>
    <row r="103" customFormat="false" ht="15" hidden="false" customHeight="false" outlineLevel="0" collapsed="false">
      <c r="A103" s="24" t="n">
        <v>101</v>
      </c>
      <c r="C103" s="26"/>
      <c r="D103" s="25" t="n">
        <f aca="false">IFERROR(INDEX('DATA ENTRY'!$S:$S,MATCH(C103,'DATA ENTRY'!$B:$B,0)),"")</f>
        <v>0</v>
      </c>
      <c r="E103" s="25" t="n">
        <f aca="false">IFERROR(INDEX('DATA ENTRY'!$C:$C,MATCH(C103,'DATA ENTRY'!$B:$B,0)),"")</f>
        <v>0</v>
      </c>
      <c r="F103" s="25" t="n">
        <f aca="false">IFERROR(INDEX('DATA ENTRY'!$E:$E,MATCH(C103,'DATA ENTRY'!$B:$B,0)),"")</f>
        <v>0</v>
      </c>
      <c r="G103" s="34"/>
      <c r="H103" s="35"/>
      <c r="I103" s="35"/>
      <c r="J103" s="34"/>
      <c r="K103" s="27" t="str">
        <f aca="false">IF(H103="","",MAX(0,H103-IF(I103="",0,I103)))</f>
        <v/>
      </c>
      <c r="L103" s="25" t="str">
        <f aca="true">IF(H103="","",IF(I103&gt;=H103,"✅ Paid",IF(G103&lt;TODAY(),"🔴 Overdue",IF(G103&lt;=TODAY()+90,"🟡 Due Soon","⬜ Upcoming"))))</f>
        <v/>
      </c>
    </row>
    <row r="104" customFormat="false" ht="15" hidden="false" customHeight="false" outlineLevel="0" collapsed="false">
      <c r="A104" s="24" t="n">
        <v>102</v>
      </c>
      <c r="C104" s="26"/>
      <c r="D104" s="25" t="n">
        <f aca="false">IFERROR(INDEX('DATA ENTRY'!$S:$S,MATCH(C104,'DATA ENTRY'!$B:$B,0)),"")</f>
        <v>0</v>
      </c>
      <c r="E104" s="25" t="n">
        <f aca="false">IFERROR(INDEX('DATA ENTRY'!$C:$C,MATCH(C104,'DATA ENTRY'!$B:$B,0)),"")</f>
        <v>0</v>
      </c>
      <c r="F104" s="25" t="n">
        <f aca="false">IFERROR(INDEX('DATA ENTRY'!$E:$E,MATCH(C104,'DATA ENTRY'!$B:$B,0)),"")</f>
        <v>0</v>
      </c>
      <c r="G104" s="34"/>
      <c r="H104" s="35"/>
      <c r="I104" s="35"/>
      <c r="J104" s="34"/>
      <c r="K104" s="27" t="str">
        <f aca="false">IF(H104="","",MAX(0,H104-IF(I104="",0,I104)))</f>
        <v/>
      </c>
      <c r="L104" s="25" t="str">
        <f aca="true">IF(H104="","",IF(I104&gt;=H104,"✅ Paid",IF(G104&lt;TODAY(),"🔴 Overdue",IF(G104&lt;=TODAY()+90,"🟡 Due Soon","⬜ Upcoming"))))</f>
        <v/>
      </c>
    </row>
    <row r="105" customFormat="false" ht="15" hidden="false" customHeight="false" outlineLevel="0" collapsed="false">
      <c r="A105" s="24" t="n">
        <v>103</v>
      </c>
      <c r="C105" s="26"/>
      <c r="D105" s="25" t="n">
        <f aca="false">IFERROR(INDEX('DATA ENTRY'!$S:$S,MATCH(C105,'DATA ENTRY'!$B:$B,0)),"")</f>
        <v>0</v>
      </c>
      <c r="E105" s="25" t="n">
        <f aca="false">IFERROR(INDEX('DATA ENTRY'!$C:$C,MATCH(C105,'DATA ENTRY'!$B:$B,0)),"")</f>
        <v>0</v>
      </c>
      <c r="F105" s="25" t="n">
        <f aca="false">IFERROR(INDEX('DATA ENTRY'!$E:$E,MATCH(C105,'DATA ENTRY'!$B:$B,0)),"")</f>
        <v>0</v>
      </c>
      <c r="G105" s="34"/>
      <c r="H105" s="35"/>
      <c r="I105" s="35"/>
      <c r="J105" s="34"/>
      <c r="K105" s="27" t="str">
        <f aca="false">IF(H105="","",MAX(0,H105-IF(I105="",0,I105)))</f>
        <v/>
      </c>
      <c r="L105" s="25" t="str">
        <f aca="true">IF(H105="","",IF(I105&gt;=H105,"✅ Paid",IF(G105&lt;TODAY(),"🔴 Overdue",IF(G105&lt;=TODAY()+90,"🟡 Due Soon","⬜ Upcoming"))))</f>
        <v/>
      </c>
    </row>
    <row r="106" customFormat="false" ht="15" hidden="false" customHeight="false" outlineLevel="0" collapsed="false">
      <c r="A106" s="24" t="n">
        <v>104</v>
      </c>
      <c r="C106" s="26"/>
      <c r="D106" s="25" t="n">
        <f aca="false">IFERROR(INDEX('DATA ENTRY'!$S:$S,MATCH(C106,'DATA ENTRY'!$B:$B,0)),"")</f>
        <v>0</v>
      </c>
      <c r="E106" s="25" t="n">
        <f aca="false">IFERROR(INDEX('DATA ENTRY'!$C:$C,MATCH(C106,'DATA ENTRY'!$B:$B,0)),"")</f>
        <v>0</v>
      </c>
      <c r="F106" s="25" t="n">
        <f aca="false">IFERROR(INDEX('DATA ENTRY'!$E:$E,MATCH(C106,'DATA ENTRY'!$B:$B,0)),"")</f>
        <v>0</v>
      </c>
      <c r="G106" s="34"/>
      <c r="H106" s="35"/>
      <c r="I106" s="35"/>
      <c r="J106" s="34"/>
      <c r="K106" s="27" t="str">
        <f aca="false">IF(H106="","",MAX(0,H106-IF(I106="",0,I106)))</f>
        <v/>
      </c>
      <c r="L106" s="25" t="str">
        <f aca="true">IF(H106="","",IF(I106&gt;=H106,"✅ Paid",IF(G106&lt;TODAY(),"🔴 Overdue",IF(G106&lt;=TODAY()+90,"🟡 Due Soon","⬜ Upcoming"))))</f>
        <v/>
      </c>
    </row>
    <row r="107" customFormat="false" ht="15" hidden="false" customHeight="false" outlineLevel="0" collapsed="false">
      <c r="A107" s="24" t="n">
        <v>105</v>
      </c>
      <c r="C107" s="26"/>
      <c r="D107" s="25" t="n">
        <f aca="false">IFERROR(INDEX('DATA ENTRY'!$S:$S,MATCH(C107,'DATA ENTRY'!$B:$B,0)),"")</f>
        <v>0</v>
      </c>
      <c r="E107" s="25" t="n">
        <f aca="false">IFERROR(INDEX('DATA ENTRY'!$C:$C,MATCH(C107,'DATA ENTRY'!$B:$B,0)),"")</f>
        <v>0</v>
      </c>
      <c r="F107" s="25" t="n">
        <f aca="false">IFERROR(INDEX('DATA ENTRY'!$E:$E,MATCH(C107,'DATA ENTRY'!$B:$B,0)),"")</f>
        <v>0</v>
      </c>
      <c r="G107" s="34"/>
      <c r="H107" s="35"/>
      <c r="I107" s="35"/>
      <c r="J107" s="34"/>
      <c r="K107" s="27" t="str">
        <f aca="false">IF(H107="","",MAX(0,H107-IF(I107="",0,I107)))</f>
        <v/>
      </c>
      <c r="L107" s="25" t="str">
        <f aca="true">IF(H107="","",IF(I107&gt;=H107,"✅ Paid",IF(G107&lt;TODAY(),"🔴 Overdue",IF(G107&lt;=TODAY()+90,"🟡 Due Soon","⬜ Upcoming"))))</f>
        <v/>
      </c>
    </row>
    <row r="108" customFormat="false" ht="15" hidden="false" customHeight="false" outlineLevel="0" collapsed="false">
      <c r="A108" s="24" t="n">
        <v>106</v>
      </c>
      <c r="C108" s="26"/>
      <c r="D108" s="25" t="n">
        <f aca="false">IFERROR(INDEX('DATA ENTRY'!$S:$S,MATCH(C108,'DATA ENTRY'!$B:$B,0)),"")</f>
        <v>0</v>
      </c>
      <c r="E108" s="25" t="n">
        <f aca="false">IFERROR(INDEX('DATA ENTRY'!$C:$C,MATCH(C108,'DATA ENTRY'!$B:$B,0)),"")</f>
        <v>0</v>
      </c>
      <c r="F108" s="25" t="n">
        <f aca="false">IFERROR(INDEX('DATA ENTRY'!$E:$E,MATCH(C108,'DATA ENTRY'!$B:$B,0)),"")</f>
        <v>0</v>
      </c>
      <c r="G108" s="34"/>
      <c r="H108" s="35"/>
      <c r="I108" s="35"/>
      <c r="J108" s="34"/>
      <c r="K108" s="27" t="str">
        <f aca="false">IF(H108="","",MAX(0,H108-IF(I108="",0,I108)))</f>
        <v/>
      </c>
      <c r="L108" s="25" t="str">
        <f aca="true">IF(H108="","",IF(I108&gt;=H108,"✅ Paid",IF(G108&lt;TODAY(),"🔴 Overdue",IF(G108&lt;=TODAY()+90,"🟡 Due Soon","⬜ Upcoming"))))</f>
        <v/>
      </c>
    </row>
    <row r="109" customFormat="false" ht="15" hidden="false" customHeight="false" outlineLevel="0" collapsed="false">
      <c r="A109" s="24" t="n">
        <v>107</v>
      </c>
      <c r="C109" s="26"/>
      <c r="D109" s="25" t="n">
        <f aca="false">IFERROR(INDEX('DATA ENTRY'!$S:$S,MATCH(C109,'DATA ENTRY'!$B:$B,0)),"")</f>
        <v>0</v>
      </c>
      <c r="E109" s="25" t="n">
        <f aca="false">IFERROR(INDEX('DATA ENTRY'!$C:$C,MATCH(C109,'DATA ENTRY'!$B:$B,0)),"")</f>
        <v>0</v>
      </c>
      <c r="F109" s="25" t="n">
        <f aca="false">IFERROR(INDEX('DATA ENTRY'!$E:$E,MATCH(C109,'DATA ENTRY'!$B:$B,0)),"")</f>
        <v>0</v>
      </c>
      <c r="G109" s="34"/>
      <c r="H109" s="35"/>
      <c r="I109" s="35"/>
      <c r="J109" s="34"/>
      <c r="K109" s="27" t="str">
        <f aca="false">IF(H109="","",MAX(0,H109-IF(I109="",0,I109)))</f>
        <v/>
      </c>
      <c r="L109" s="25" t="str">
        <f aca="true">IF(H109="","",IF(I109&gt;=H109,"✅ Paid",IF(G109&lt;TODAY(),"🔴 Overdue",IF(G109&lt;=TODAY()+90,"🟡 Due Soon","⬜ Upcoming"))))</f>
        <v/>
      </c>
    </row>
    <row r="110" customFormat="false" ht="15" hidden="false" customHeight="false" outlineLevel="0" collapsed="false">
      <c r="A110" s="24" t="n">
        <v>108</v>
      </c>
      <c r="C110" s="26"/>
      <c r="D110" s="25" t="n">
        <f aca="false">IFERROR(INDEX('DATA ENTRY'!$S:$S,MATCH(C110,'DATA ENTRY'!$B:$B,0)),"")</f>
        <v>0</v>
      </c>
      <c r="E110" s="25" t="n">
        <f aca="false">IFERROR(INDEX('DATA ENTRY'!$C:$C,MATCH(C110,'DATA ENTRY'!$B:$B,0)),"")</f>
        <v>0</v>
      </c>
      <c r="F110" s="25" t="n">
        <f aca="false">IFERROR(INDEX('DATA ENTRY'!$E:$E,MATCH(C110,'DATA ENTRY'!$B:$B,0)),"")</f>
        <v>0</v>
      </c>
      <c r="G110" s="34"/>
      <c r="H110" s="35"/>
      <c r="I110" s="35"/>
      <c r="J110" s="34"/>
      <c r="K110" s="27" t="str">
        <f aca="false">IF(H110="","",MAX(0,H110-IF(I110="",0,I110)))</f>
        <v/>
      </c>
      <c r="L110" s="25" t="str">
        <f aca="true">IF(H110="","",IF(I110&gt;=H110,"✅ Paid",IF(G110&lt;TODAY(),"🔴 Overdue",IF(G110&lt;=TODAY()+90,"🟡 Due Soon","⬜ Upcoming"))))</f>
        <v/>
      </c>
    </row>
    <row r="111" customFormat="false" ht="15" hidden="false" customHeight="false" outlineLevel="0" collapsed="false">
      <c r="A111" s="24" t="n">
        <v>109</v>
      </c>
      <c r="C111" s="26"/>
      <c r="D111" s="25" t="n">
        <f aca="false">IFERROR(INDEX('DATA ENTRY'!$S:$S,MATCH(C111,'DATA ENTRY'!$B:$B,0)),"")</f>
        <v>0</v>
      </c>
      <c r="E111" s="25" t="n">
        <f aca="false">IFERROR(INDEX('DATA ENTRY'!$C:$C,MATCH(C111,'DATA ENTRY'!$B:$B,0)),"")</f>
        <v>0</v>
      </c>
      <c r="F111" s="25" t="n">
        <f aca="false">IFERROR(INDEX('DATA ENTRY'!$E:$E,MATCH(C111,'DATA ENTRY'!$B:$B,0)),"")</f>
        <v>0</v>
      </c>
      <c r="G111" s="34"/>
      <c r="H111" s="35"/>
      <c r="I111" s="35"/>
      <c r="J111" s="34"/>
      <c r="K111" s="27" t="str">
        <f aca="false">IF(H111="","",MAX(0,H111-IF(I111="",0,I111)))</f>
        <v/>
      </c>
      <c r="L111" s="25" t="str">
        <f aca="true">IF(H111="","",IF(I111&gt;=H111,"✅ Paid",IF(G111&lt;TODAY(),"🔴 Overdue",IF(G111&lt;=TODAY()+90,"🟡 Due Soon","⬜ Upcoming"))))</f>
        <v/>
      </c>
    </row>
    <row r="112" customFormat="false" ht="15" hidden="false" customHeight="false" outlineLevel="0" collapsed="false">
      <c r="A112" s="24" t="n">
        <v>110</v>
      </c>
      <c r="C112" s="26"/>
      <c r="D112" s="25" t="n">
        <f aca="false">IFERROR(INDEX('DATA ENTRY'!$S:$S,MATCH(C112,'DATA ENTRY'!$B:$B,0)),"")</f>
        <v>0</v>
      </c>
      <c r="E112" s="25" t="n">
        <f aca="false">IFERROR(INDEX('DATA ENTRY'!$C:$C,MATCH(C112,'DATA ENTRY'!$B:$B,0)),"")</f>
        <v>0</v>
      </c>
      <c r="F112" s="25" t="n">
        <f aca="false">IFERROR(INDEX('DATA ENTRY'!$E:$E,MATCH(C112,'DATA ENTRY'!$B:$B,0)),"")</f>
        <v>0</v>
      </c>
      <c r="G112" s="34"/>
      <c r="H112" s="35"/>
      <c r="I112" s="35"/>
      <c r="J112" s="34"/>
      <c r="K112" s="27" t="str">
        <f aca="false">IF(H112="","",MAX(0,H112-IF(I112="",0,I112)))</f>
        <v/>
      </c>
      <c r="L112" s="25" t="str">
        <f aca="true">IF(H112="","",IF(I112&gt;=H112,"✅ Paid",IF(G112&lt;TODAY(),"🔴 Overdue",IF(G112&lt;=TODAY()+90,"🟡 Due Soon","⬜ Upcoming"))))</f>
        <v/>
      </c>
    </row>
    <row r="113" customFormat="false" ht="15" hidden="false" customHeight="false" outlineLevel="0" collapsed="false">
      <c r="A113" s="24" t="n">
        <v>111</v>
      </c>
      <c r="C113" s="26"/>
      <c r="D113" s="25" t="n">
        <f aca="false">IFERROR(INDEX('DATA ENTRY'!$S:$S,MATCH(C113,'DATA ENTRY'!$B:$B,0)),"")</f>
        <v>0</v>
      </c>
      <c r="E113" s="25" t="n">
        <f aca="false">IFERROR(INDEX('DATA ENTRY'!$C:$C,MATCH(C113,'DATA ENTRY'!$B:$B,0)),"")</f>
        <v>0</v>
      </c>
      <c r="F113" s="25" t="n">
        <f aca="false">IFERROR(INDEX('DATA ENTRY'!$E:$E,MATCH(C113,'DATA ENTRY'!$B:$B,0)),"")</f>
        <v>0</v>
      </c>
      <c r="G113" s="34"/>
      <c r="H113" s="35"/>
      <c r="I113" s="35"/>
      <c r="J113" s="34"/>
      <c r="K113" s="27" t="str">
        <f aca="false">IF(H113="","",MAX(0,H113-IF(I113="",0,I113)))</f>
        <v/>
      </c>
      <c r="L113" s="25" t="str">
        <f aca="true">IF(H113="","",IF(I113&gt;=H113,"✅ Paid",IF(G113&lt;TODAY(),"🔴 Overdue",IF(G113&lt;=TODAY()+90,"🟡 Due Soon","⬜ Upcoming"))))</f>
        <v/>
      </c>
    </row>
    <row r="114" customFormat="false" ht="15" hidden="false" customHeight="false" outlineLevel="0" collapsed="false">
      <c r="A114" s="24" t="n">
        <v>112</v>
      </c>
      <c r="C114" s="26"/>
      <c r="D114" s="25" t="n">
        <f aca="false">IFERROR(INDEX('DATA ENTRY'!$S:$S,MATCH(C114,'DATA ENTRY'!$B:$B,0)),"")</f>
        <v>0</v>
      </c>
      <c r="E114" s="25" t="n">
        <f aca="false">IFERROR(INDEX('DATA ENTRY'!$C:$C,MATCH(C114,'DATA ENTRY'!$B:$B,0)),"")</f>
        <v>0</v>
      </c>
      <c r="F114" s="25" t="n">
        <f aca="false">IFERROR(INDEX('DATA ENTRY'!$E:$E,MATCH(C114,'DATA ENTRY'!$B:$B,0)),"")</f>
        <v>0</v>
      </c>
      <c r="G114" s="34"/>
      <c r="H114" s="35"/>
      <c r="I114" s="35"/>
      <c r="J114" s="34"/>
      <c r="K114" s="27" t="str">
        <f aca="false">IF(H114="","",MAX(0,H114-IF(I114="",0,I114)))</f>
        <v/>
      </c>
      <c r="L114" s="25" t="str">
        <f aca="true">IF(H114="","",IF(I114&gt;=H114,"✅ Paid",IF(G114&lt;TODAY(),"🔴 Overdue",IF(G114&lt;=TODAY()+90,"🟡 Due Soon","⬜ Upcoming"))))</f>
        <v/>
      </c>
    </row>
    <row r="115" customFormat="false" ht="15" hidden="false" customHeight="false" outlineLevel="0" collapsed="false">
      <c r="A115" s="24" t="n">
        <v>113</v>
      </c>
      <c r="C115" s="26"/>
      <c r="D115" s="25" t="n">
        <f aca="false">IFERROR(INDEX('DATA ENTRY'!$S:$S,MATCH(C115,'DATA ENTRY'!$B:$B,0)),"")</f>
        <v>0</v>
      </c>
      <c r="E115" s="25" t="n">
        <f aca="false">IFERROR(INDEX('DATA ENTRY'!$C:$C,MATCH(C115,'DATA ENTRY'!$B:$B,0)),"")</f>
        <v>0</v>
      </c>
      <c r="F115" s="25" t="n">
        <f aca="false">IFERROR(INDEX('DATA ENTRY'!$E:$E,MATCH(C115,'DATA ENTRY'!$B:$B,0)),"")</f>
        <v>0</v>
      </c>
      <c r="G115" s="34"/>
      <c r="H115" s="35"/>
      <c r="I115" s="35"/>
      <c r="J115" s="34"/>
      <c r="K115" s="27" t="str">
        <f aca="false">IF(H115="","",MAX(0,H115-IF(I115="",0,I115)))</f>
        <v/>
      </c>
      <c r="L115" s="25" t="str">
        <f aca="true">IF(H115="","",IF(I115&gt;=H115,"✅ Paid",IF(G115&lt;TODAY(),"🔴 Overdue",IF(G115&lt;=TODAY()+90,"🟡 Due Soon","⬜ Upcoming"))))</f>
        <v/>
      </c>
    </row>
    <row r="116" customFormat="false" ht="15" hidden="false" customHeight="false" outlineLevel="0" collapsed="false">
      <c r="A116" s="24" t="n">
        <v>114</v>
      </c>
      <c r="C116" s="26"/>
      <c r="D116" s="25" t="n">
        <f aca="false">IFERROR(INDEX('DATA ENTRY'!$S:$S,MATCH(C116,'DATA ENTRY'!$B:$B,0)),"")</f>
        <v>0</v>
      </c>
      <c r="E116" s="25" t="n">
        <f aca="false">IFERROR(INDEX('DATA ENTRY'!$C:$C,MATCH(C116,'DATA ENTRY'!$B:$B,0)),"")</f>
        <v>0</v>
      </c>
      <c r="F116" s="25" t="n">
        <f aca="false">IFERROR(INDEX('DATA ENTRY'!$E:$E,MATCH(C116,'DATA ENTRY'!$B:$B,0)),"")</f>
        <v>0</v>
      </c>
      <c r="G116" s="34"/>
      <c r="H116" s="35"/>
      <c r="I116" s="35"/>
      <c r="J116" s="34"/>
      <c r="K116" s="27" t="str">
        <f aca="false">IF(H116="","",MAX(0,H116-IF(I116="",0,I116)))</f>
        <v/>
      </c>
      <c r="L116" s="25" t="str">
        <f aca="true">IF(H116="","",IF(I116&gt;=H116,"✅ Paid",IF(G116&lt;TODAY(),"🔴 Overdue",IF(G116&lt;=TODAY()+90,"🟡 Due Soon","⬜ Upcoming"))))</f>
        <v/>
      </c>
    </row>
    <row r="117" customFormat="false" ht="15" hidden="false" customHeight="false" outlineLevel="0" collapsed="false">
      <c r="A117" s="24" t="n">
        <v>115</v>
      </c>
      <c r="C117" s="26"/>
      <c r="D117" s="25" t="n">
        <f aca="false">IFERROR(INDEX('DATA ENTRY'!$S:$S,MATCH(C117,'DATA ENTRY'!$B:$B,0)),"")</f>
        <v>0</v>
      </c>
      <c r="E117" s="25" t="n">
        <f aca="false">IFERROR(INDEX('DATA ENTRY'!$C:$C,MATCH(C117,'DATA ENTRY'!$B:$B,0)),"")</f>
        <v>0</v>
      </c>
      <c r="F117" s="25" t="n">
        <f aca="false">IFERROR(INDEX('DATA ENTRY'!$E:$E,MATCH(C117,'DATA ENTRY'!$B:$B,0)),"")</f>
        <v>0</v>
      </c>
      <c r="G117" s="34"/>
      <c r="H117" s="35"/>
      <c r="I117" s="35"/>
      <c r="J117" s="34"/>
      <c r="K117" s="27" t="str">
        <f aca="false">IF(H117="","",MAX(0,H117-IF(I117="",0,I117)))</f>
        <v/>
      </c>
      <c r="L117" s="25" t="str">
        <f aca="true">IF(H117="","",IF(I117&gt;=H117,"✅ Paid",IF(G117&lt;TODAY(),"🔴 Overdue",IF(G117&lt;=TODAY()+90,"🟡 Due Soon","⬜ Upcoming"))))</f>
        <v/>
      </c>
    </row>
    <row r="118" customFormat="false" ht="15" hidden="false" customHeight="false" outlineLevel="0" collapsed="false">
      <c r="A118" s="24" t="n">
        <v>116</v>
      </c>
      <c r="C118" s="26"/>
      <c r="D118" s="25" t="n">
        <f aca="false">IFERROR(INDEX('DATA ENTRY'!$S:$S,MATCH(C118,'DATA ENTRY'!$B:$B,0)),"")</f>
        <v>0</v>
      </c>
      <c r="E118" s="25" t="n">
        <f aca="false">IFERROR(INDEX('DATA ENTRY'!$C:$C,MATCH(C118,'DATA ENTRY'!$B:$B,0)),"")</f>
        <v>0</v>
      </c>
      <c r="F118" s="25" t="n">
        <f aca="false">IFERROR(INDEX('DATA ENTRY'!$E:$E,MATCH(C118,'DATA ENTRY'!$B:$B,0)),"")</f>
        <v>0</v>
      </c>
      <c r="G118" s="34"/>
      <c r="H118" s="35"/>
      <c r="I118" s="35"/>
      <c r="J118" s="34"/>
      <c r="K118" s="27" t="str">
        <f aca="false">IF(H118="","",MAX(0,H118-IF(I118="",0,I118)))</f>
        <v/>
      </c>
      <c r="L118" s="25" t="str">
        <f aca="true">IF(H118="","",IF(I118&gt;=H118,"✅ Paid",IF(G118&lt;TODAY(),"🔴 Overdue",IF(G118&lt;=TODAY()+90,"🟡 Due Soon","⬜ Upcoming"))))</f>
        <v/>
      </c>
    </row>
    <row r="119" customFormat="false" ht="15" hidden="false" customHeight="false" outlineLevel="0" collapsed="false">
      <c r="A119" s="24" t="n">
        <v>117</v>
      </c>
      <c r="C119" s="26"/>
      <c r="D119" s="25" t="n">
        <f aca="false">IFERROR(INDEX('DATA ENTRY'!$S:$S,MATCH(C119,'DATA ENTRY'!$B:$B,0)),"")</f>
        <v>0</v>
      </c>
      <c r="E119" s="25" t="n">
        <f aca="false">IFERROR(INDEX('DATA ENTRY'!$C:$C,MATCH(C119,'DATA ENTRY'!$B:$B,0)),"")</f>
        <v>0</v>
      </c>
      <c r="F119" s="25" t="n">
        <f aca="false">IFERROR(INDEX('DATA ENTRY'!$E:$E,MATCH(C119,'DATA ENTRY'!$B:$B,0)),"")</f>
        <v>0</v>
      </c>
      <c r="G119" s="34"/>
      <c r="H119" s="35"/>
      <c r="I119" s="35"/>
      <c r="J119" s="34"/>
      <c r="K119" s="27" t="str">
        <f aca="false">IF(H119="","",MAX(0,H119-IF(I119="",0,I119)))</f>
        <v/>
      </c>
      <c r="L119" s="25" t="str">
        <f aca="true">IF(H119="","",IF(I119&gt;=H119,"✅ Paid",IF(G119&lt;TODAY(),"🔴 Overdue",IF(G119&lt;=TODAY()+90,"🟡 Due Soon","⬜ Upcoming"))))</f>
        <v/>
      </c>
    </row>
    <row r="120" customFormat="false" ht="15" hidden="false" customHeight="false" outlineLevel="0" collapsed="false">
      <c r="A120" s="24" t="n">
        <v>118</v>
      </c>
      <c r="C120" s="26"/>
      <c r="D120" s="25" t="n">
        <f aca="false">IFERROR(INDEX('DATA ENTRY'!$S:$S,MATCH(C120,'DATA ENTRY'!$B:$B,0)),"")</f>
        <v>0</v>
      </c>
      <c r="E120" s="25" t="n">
        <f aca="false">IFERROR(INDEX('DATA ENTRY'!$C:$C,MATCH(C120,'DATA ENTRY'!$B:$B,0)),"")</f>
        <v>0</v>
      </c>
      <c r="F120" s="25" t="n">
        <f aca="false">IFERROR(INDEX('DATA ENTRY'!$E:$E,MATCH(C120,'DATA ENTRY'!$B:$B,0)),"")</f>
        <v>0</v>
      </c>
      <c r="G120" s="34"/>
      <c r="H120" s="35"/>
      <c r="I120" s="35"/>
      <c r="J120" s="34"/>
      <c r="K120" s="27" t="str">
        <f aca="false">IF(H120="","",MAX(0,H120-IF(I120="",0,I120)))</f>
        <v/>
      </c>
      <c r="L120" s="25" t="str">
        <f aca="true">IF(H120="","",IF(I120&gt;=H120,"✅ Paid",IF(G120&lt;TODAY(),"🔴 Overdue",IF(G120&lt;=TODAY()+90,"🟡 Due Soon","⬜ Upcoming"))))</f>
        <v/>
      </c>
    </row>
    <row r="121" customFormat="false" ht="15" hidden="false" customHeight="false" outlineLevel="0" collapsed="false">
      <c r="A121" s="24" t="n">
        <v>119</v>
      </c>
      <c r="C121" s="26"/>
      <c r="D121" s="25" t="n">
        <f aca="false">IFERROR(INDEX('DATA ENTRY'!$S:$S,MATCH(C121,'DATA ENTRY'!$B:$B,0)),"")</f>
        <v>0</v>
      </c>
      <c r="E121" s="25" t="n">
        <f aca="false">IFERROR(INDEX('DATA ENTRY'!$C:$C,MATCH(C121,'DATA ENTRY'!$B:$B,0)),"")</f>
        <v>0</v>
      </c>
      <c r="F121" s="25" t="n">
        <f aca="false">IFERROR(INDEX('DATA ENTRY'!$E:$E,MATCH(C121,'DATA ENTRY'!$B:$B,0)),"")</f>
        <v>0</v>
      </c>
      <c r="G121" s="34"/>
      <c r="H121" s="35"/>
      <c r="I121" s="35"/>
      <c r="J121" s="34"/>
      <c r="K121" s="27" t="str">
        <f aca="false">IF(H121="","",MAX(0,H121-IF(I121="",0,I121)))</f>
        <v/>
      </c>
      <c r="L121" s="25" t="str">
        <f aca="true">IF(H121="","",IF(I121&gt;=H121,"✅ Paid",IF(G121&lt;TODAY(),"🔴 Overdue",IF(G121&lt;=TODAY()+90,"🟡 Due Soon","⬜ Upcoming"))))</f>
        <v/>
      </c>
    </row>
    <row r="122" customFormat="false" ht="15" hidden="false" customHeight="false" outlineLevel="0" collapsed="false">
      <c r="A122" s="24" t="n">
        <v>120</v>
      </c>
      <c r="C122" s="26"/>
      <c r="D122" s="25" t="n">
        <f aca="false">IFERROR(INDEX('DATA ENTRY'!$S:$S,MATCH(C122,'DATA ENTRY'!$B:$B,0)),"")</f>
        <v>0</v>
      </c>
      <c r="E122" s="25" t="n">
        <f aca="false">IFERROR(INDEX('DATA ENTRY'!$C:$C,MATCH(C122,'DATA ENTRY'!$B:$B,0)),"")</f>
        <v>0</v>
      </c>
      <c r="F122" s="25" t="n">
        <f aca="false">IFERROR(INDEX('DATA ENTRY'!$E:$E,MATCH(C122,'DATA ENTRY'!$B:$B,0)),"")</f>
        <v>0</v>
      </c>
      <c r="G122" s="34"/>
      <c r="H122" s="35"/>
      <c r="I122" s="35"/>
      <c r="J122" s="34"/>
      <c r="K122" s="27" t="str">
        <f aca="false">IF(H122="","",MAX(0,H122-IF(I122="",0,I122)))</f>
        <v/>
      </c>
      <c r="L122" s="25" t="str">
        <f aca="true">IF(H122="","",IF(I122&gt;=H122,"✅ Paid",IF(G122&lt;TODAY(),"🔴 Overdue",IF(G122&lt;=TODAY()+90,"🟡 Due Soon","⬜ Upcoming"))))</f>
        <v/>
      </c>
    </row>
    <row r="123" customFormat="false" ht="15" hidden="false" customHeight="false" outlineLevel="0" collapsed="false">
      <c r="A123" s="24" t="n">
        <v>121</v>
      </c>
      <c r="C123" s="26"/>
      <c r="D123" s="25" t="n">
        <f aca="false">IFERROR(INDEX('DATA ENTRY'!$S:$S,MATCH(C123,'DATA ENTRY'!$B:$B,0)),"")</f>
        <v>0</v>
      </c>
      <c r="E123" s="25" t="n">
        <f aca="false">IFERROR(INDEX('DATA ENTRY'!$C:$C,MATCH(C123,'DATA ENTRY'!$B:$B,0)),"")</f>
        <v>0</v>
      </c>
      <c r="F123" s="25" t="n">
        <f aca="false">IFERROR(INDEX('DATA ENTRY'!$E:$E,MATCH(C123,'DATA ENTRY'!$B:$B,0)),"")</f>
        <v>0</v>
      </c>
      <c r="G123" s="34"/>
      <c r="H123" s="35"/>
      <c r="I123" s="35"/>
      <c r="J123" s="34"/>
      <c r="K123" s="27" t="str">
        <f aca="false">IF(H123="","",MAX(0,H123-IF(I123="",0,I123)))</f>
        <v/>
      </c>
      <c r="L123" s="25" t="str">
        <f aca="true">IF(H123="","",IF(I123&gt;=H123,"✅ Paid",IF(G123&lt;TODAY(),"🔴 Overdue",IF(G123&lt;=TODAY()+90,"🟡 Due Soon","⬜ Upcoming"))))</f>
        <v/>
      </c>
    </row>
    <row r="124" customFormat="false" ht="15" hidden="false" customHeight="false" outlineLevel="0" collapsed="false">
      <c r="A124" s="24" t="n">
        <v>122</v>
      </c>
      <c r="C124" s="26"/>
      <c r="D124" s="25" t="n">
        <f aca="false">IFERROR(INDEX('DATA ENTRY'!$S:$S,MATCH(C124,'DATA ENTRY'!$B:$B,0)),"")</f>
        <v>0</v>
      </c>
      <c r="E124" s="25" t="n">
        <f aca="false">IFERROR(INDEX('DATA ENTRY'!$C:$C,MATCH(C124,'DATA ENTRY'!$B:$B,0)),"")</f>
        <v>0</v>
      </c>
      <c r="F124" s="25" t="n">
        <f aca="false">IFERROR(INDEX('DATA ENTRY'!$E:$E,MATCH(C124,'DATA ENTRY'!$B:$B,0)),"")</f>
        <v>0</v>
      </c>
      <c r="G124" s="34"/>
      <c r="H124" s="35"/>
      <c r="I124" s="35"/>
      <c r="J124" s="34"/>
      <c r="K124" s="27" t="str">
        <f aca="false">IF(H124="","",MAX(0,H124-IF(I124="",0,I124)))</f>
        <v/>
      </c>
      <c r="L124" s="25" t="str">
        <f aca="true">IF(H124="","",IF(I124&gt;=H124,"✅ Paid",IF(G124&lt;TODAY(),"🔴 Overdue",IF(G124&lt;=TODAY()+90,"🟡 Due Soon","⬜ Upcoming"))))</f>
        <v/>
      </c>
    </row>
    <row r="125" customFormat="false" ht="15" hidden="false" customHeight="false" outlineLevel="0" collapsed="false">
      <c r="A125" s="24" t="n">
        <v>123</v>
      </c>
      <c r="C125" s="26"/>
      <c r="D125" s="25" t="n">
        <f aca="false">IFERROR(INDEX('DATA ENTRY'!$S:$S,MATCH(C125,'DATA ENTRY'!$B:$B,0)),"")</f>
        <v>0</v>
      </c>
      <c r="E125" s="25" t="n">
        <f aca="false">IFERROR(INDEX('DATA ENTRY'!$C:$C,MATCH(C125,'DATA ENTRY'!$B:$B,0)),"")</f>
        <v>0</v>
      </c>
      <c r="F125" s="25" t="n">
        <f aca="false">IFERROR(INDEX('DATA ENTRY'!$E:$E,MATCH(C125,'DATA ENTRY'!$B:$B,0)),"")</f>
        <v>0</v>
      </c>
      <c r="G125" s="34"/>
      <c r="H125" s="35"/>
      <c r="I125" s="35"/>
      <c r="J125" s="34"/>
      <c r="K125" s="27" t="str">
        <f aca="false">IF(H125="","",MAX(0,H125-IF(I125="",0,I125)))</f>
        <v/>
      </c>
      <c r="L125" s="25" t="str">
        <f aca="true">IF(H125="","",IF(I125&gt;=H125,"✅ Paid",IF(G125&lt;TODAY(),"🔴 Overdue",IF(G125&lt;=TODAY()+90,"🟡 Due Soon","⬜ Upcoming"))))</f>
        <v/>
      </c>
    </row>
    <row r="126" customFormat="false" ht="15" hidden="false" customHeight="false" outlineLevel="0" collapsed="false">
      <c r="A126" s="24" t="n">
        <v>124</v>
      </c>
      <c r="C126" s="26"/>
      <c r="D126" s="25" t="n">
        <f aca="false">IFERROR(INDEX('DATA ENTRY'!$S:$S,MATCH(C126,'DATA ENTRY'!$B:$B,0)),"")</f>
        <v>0</v>
      </c>
      <c r="E126" s="25" t="n">
        <f aca="false">IFERROR(INDEX('DATA ENTRY'!$C:$C,MATCH(C126,'DATA ENTRY'!$B:$B,0)),"")</f>
        <v>0</v>
      </c>
      <c r="F126" s="25" t="n">
        <f aca="false">IFERROR(INDEX('DATA ENTRY'!$E:$E,MATCH(C126,'DATA ENTRY'!$B:$B,0)),"")</f>
        <v>0</v>
      </c>
      <c r="G126" s="34"/>
      <c r="H126" s="35"/>
      <c r="I126" s="35"/>
      <c r="J126" s="34"/>
      <c r="K126" s="27" t="str">
        <f aca="false">IF(H126="","",MAX(0,H126-IF(I126="",0,I126)))</f>
        <v/>
      </c>
      <c r="L126" s="25" t="str">
        <f aca="true">IF(H126="","",IF(I126&gt;=H126,"✅ Paid",IF(G126&lt;TODAY(),"🔴 Overdue",IF(G126&lt;=TODAY()+90,"🟡 Due Soon","⬜ Upcoming"))))</f>
        <v/>
      </c>
    </row>
    <row r="127" customFormat="false" ht="15" hidden="false" customHeight="false" outlineLevel="0" collapsed="false">
      <c r="A127" s="24" t="n">
        <v>125</v>
      </c>
      <c r="C127" s="26"/>
      <c r="D127" s="25" t="n">
        <f aca="false">IFERROR(INDEX('DATA ENTRY'!$S:$S,MATCH(C127,'DATA ENTRY'!$B:$B,0)),"")</f>
        <v>0</v>
      </c>
      <c r="E127" s="25" t="n">
        <f aca="false">IFERROR(INDEX('DATA ENTRY'!$C:$C,MATCH(C127,'DATA ENTRY'!$B:$B,0)),"")</f>
        <v>0</v>
      </c>
      <c r="F127" s="25" t="n">
        <f aca="false">IFERROR(INDEX('DATA ENTRY'!$E:$E,MATCH(C127,'DATA ENTRY'!$B:$B,0)),"")</f>
        <v>0</v>
      </c>
      <c r="G127" s="34"/>
      <c r="H127" s="35"/>
      <c r="I127" s="35"/>
      <c r="J127" s="34"/>
      <c r="K127" s="27" t="str">
        <f aca="false">IF(H127="","",MAX(0,H127-IF(I127="",0,I127)))</f>
        <v/>
      </c>
      <c r="L127" s="25" t="str">
        <f aca="true">IF(H127="","",IF(I127&gt;=H127,"✅ Paid",IF(G127&lt;TODAY(),"🔴 Overdue",IF(G127&lt;=TODAY()+90,"🟡 Due Soon","⬜ Upcoming"))))</f>
        <v/>
      </c>
    </row>
    <row r="128" customFormat="false" ht="15" hidden="false" customHeight="false" outlineLevel="0" collapsed="false">
      <c r="A128" s="24" t="n">
        <v>126</v>
      </c>
      <c r="C128" s="26"/>
      <c r="D128" s="25" t="n">
        <f aca="false">IFERROR(INDEX('DATA ENTRY'!$S:$S,MATCH(C128,'DATA ENTRY'!$B:$B,0)),"")</f>
        <v>0</v>
      </c>
      <c r="E128" s="25" t="n">
        <f aca="false">IFERROR(INDEX('DATA ENTRY'!$C:$C,MATCH(C128,'DATA ENTRY'!$B:$B,0)),"")</f>
        <v>0</v>
      </c>
      <c r="F128" s="25" t="n">
        <f aca="false">IFERROR(INDEX('DATA ENTRY'!$E:$E,MATCH(C128,'DATA ENTRY'!$B:$B,0)),"")</f>
        <v>0</v>
      </c>
      <c r="G128" s="34"/>
      <c r="H128" s="35"/>
      <c r="I128" s="35"/>
      <c r="J128" s="34"/>
      <c r="K128" s="27" t="str">
        <f aca="false">IF(H128="","",MAX(0,H128-IF(I128="",0,I128)))</f>
        <v/>
      </c>
      <c r="L128" s="25" t="str">
        <f aca="true">IF(H128="","",IF(I128&gt;=H128,"✅ Paid",IF(G128&lt;TODAY(),"🔴 Overdue",IF(G128&lt;=TODAY()+90,"🟡 Due Soon","⬜ Upcoming"))))</f>
        <v/>
      </c>
    </row>
    <row r="129" customFormat="false" ht="15" hidden="false" customHeight="false" outlineLevel="0" collapsed="false">
      <c r="A129" s="24" t="n">
        <v>127</v>
      </c>
      <c r="C129" s="26"/>
      <c r="D129" s="25" t="n">
        <f aca="false">IFERROR(INDEX('DATA ENTRY'!$S:$S,MATCH(C129,'DATA ENTRY'!$B:$B,0)),"")</f>
        <v>0</v>
      </c>
      <c r="E129" s="25" t="n">
        <f aca="false">IFERROR(INDEX('DATA ENTRY'!$C:$C,MATCH(C129,'DATA ENTRY'!$B:$B,0)),"")</f>
        <v>0</v>
      </c>
      <c r="F129" s="25" t="n">
        <f aca="false">IFERROR(INDEX('DATA ENTRY'!$E:$E,MATCH(C129,'DATA ENTRY'!$B:$B,0)),"")</f>
        <v>0</v>
      </c>
      <c r="G129" s="34"/>
      <c r="H129" s="35"/>
      <c r="I129" s="35"/>
      <c r="J129" s="34"/>
      <c r="K129" s="27" t="str">
        <f aca="false">IF(H129="","",MAX(0,H129-IF(I129="",0,I129)))</f>
        <v/>
      </c>
      <c r="L129" s="25" t="str">
        <f aca="true">IF(H129="","",IF(I129&gt;=H129,"✅ Paid",IF(G129&lt;TODAY(),"🔴 Overdue",IF(G129&lt;=TODAY()+90,"🟡 Due Soon","⬜ Upcoming"))))</f>
        <v/>
      </c>
    </row>
    <row r="130" customFormat="false" ht="15" hidden="false" customHeight="false" outlineLevel="0" collapsed="false">
      <c r="A130" s="24" t="n">
        <v>128</v>
      </c>
      <c r="C130" s="26"/>
      <c r="D130" s="25" t="n">
        <f aca="false">IFERROR(INDEX('DATA ENTRY'!$S:$S,MATCH(C130,'DATA ENTRY'!$B:$B,0)),"")</f>
        <v>0</v>
      </c>
      <c r="E130" s="25" t="n">
        <f aca="false">IFERROR(INDEX('DATA ENTRY'!$C:$C,MATCH(C130,'DATA ENTRY'!$B:$B,0)),"")</f>
        <v>0</v>
      </c>
      <c r="F130" s="25" t="n">
        <f aca="false">IFERROR(INDEX('DATA ENTRY'!$E:$E,MATCH(C130,'DATA ENTRY'!$B:$B,0)),"")</f>
        <v>0</v>
      </c>
      <c r="G130" s="34"/>
      <c r="H130" s="35"/>
      <c r="I130" s="35"/>
      <c r="J130" s="34"/>
      <c r="K130" s="27" t="str">
        <f aca="false">IF(H130="","",MAX(0,H130-IF(I130="",0,I130)))</f>
        <v/>
      </c>
      <c r="L130" s="25" t="str">
        <f aca="true">IF(H130="","",IF(I130&gt;=H130,"✅ Paid",IF(G130&lt;TODAY(),"🔴 Overdue",IF(G130&lt;=TODAY()+90,"🟡 Due Soon","⬜ Upcoming"))))</f>
        <v/>
      </c>
    </row>
    <row r="131" customFormat="false" ht="15" hidden="false" customHeight="false" outlineLevel="0" collapsed="false">
      <c r="A131" s="24" t="n">
        <v>129</v>
      </c>
      <c r="C131" s="26"/>
      <c r="D131" s="25" t="n">
        <f aca="false">IFERROR(INDEX('DATA ENTRY'!$S:$S,MATCH(C131,'DATA ENTRY'!$B:$B,0)),"")</f>
        <v>0</v>
      </c>
      <c r="E131" s="25" t="n">
        <f aca="false">IFERROR(INDEX('DATA ENTRY'!$C:$C,MATCH(C131,'DATA ENTRY'!$B:$B,0)),"")</f>
        <v>0</v>
      </c>
      <c r="F131" s="25" t="n">
        <f aca="false">IFERROR(INDEX('DATA ENTRY'!$E:$E,MATCH(C131,'DATA ENTRY'!$B:$B,0)),"")</f>
        <v>0</v>
      </c>
      <c r="G131" s="34"/>
      <c r="H131" s="35"/>
      <c r="I131" s="35"/>
      <c r="J131" s="34"/>
      <c r="K131" s="27" t="str">
        <f aca="false">IF(H131="","",MAX(0,H131-IF(I131="",0,I131)))</f>
        <v/>
      </c>
      <c r="L131" s="25" t="str">
        <f aca="true">IF(H131="","",IF(I131&gt;=H131,"✅ Paid",IF(G131&lt;TODAY(),"🔴 Overdue",IF(G131&lt;=TODAY()+90,"🟡 Due Soon","⬜ Upcoming"))))</f>
        <v/>
      </c>
    </row>
    <row r="132" customFormat="false" ht="15" hidden="false" customHeight="false" outlineLevel="0" collapsed="false">
      <c r="A132" s="24" t="n">
        <v>130</v>
      </c>
      <c r="C132" s="26"/>
      <c r="D132" s="25" t="n">
        <f aca="false">IFERROR(INDEX('DATA ENTRY'!$S:$S,MATCH(C132,'DATA ENTRY'!$B:$B,0)),"")</f>
        <v>0</v>
      </c>
      <c r="E132" s="25" t="n">
        <f aca="false">IFERROR(INDEX('DATA ENTRY'!$C:$C,MATCH(C132,'DATA ENTRY'!$B:$B,0)),"")</f>
        <v>0</v>
      </c>
      <c r="F132" s="25" t="n">
        <f aca="false">IFERROR(INDEX('DATA ENTRY'!$E:$E,MATCH(C132,'DATA ENTRY'!$B:$B,0)),"")</f>
        <v>0</v>
      </c>
      <c r="G132" s="34"/>
      <c r="H132" s="35"/>
      <c r="I132" s="35"/>
      <c r="J132" s="34"/>
      <c r="K132" s="27" t="str">
        <f aca="false">IF(H132="","",MAX(0,H132-IF(I132="",0,I132)))</f>
        <v/>
      </c>
      <c r="L132" s="25" t="str">
        <f aca="true">IF(H132="","",IF(I132&gt;=H132,"✅ Paid",IF(G132&lt;TODAY(),"🔴 Overdue",IF(G132&lt;=TODAY()+90,"🟡 Due Soon","⬜ Upcoming"))))</f>
        <v/>
      </c>
    </row>
    <row r="133" customFormat="false" ht="15" hidden="false" customHeight="false" outlineLevel="0" collapsed="false">
      <c r="A133" s="24" t="n">
        <v>131</v>
      </c>
      <c r="C133" s="26"/>
      <c r="D133" s="25" t="n">
        <f aca="false">IFERROR(INDEX('DATA ENTRY'!$S:$S,MATCH(C133,'DATA ENTRY'!$B:$B,0)),"")</f>
        <v>0</v>
      </c>
      <c r="E133" s="25" t="n">
        <f aca="false">IFERROR(INDEX('DATA ENTRY'!$C:$C,MATCH(C133,'DATA ENTRY'!$B:$B,0)),"")</f>
        <v>0</v>
      </c>
      <c r="F133" s="25" t="n">
        <f aca="false">IFERROR(INDEX('DATA ENTRY'!$E:$E,MATCH(C133,'DATA ENTRY'!$B:$B,0)),"")</f>
        <v>0</v>
      </c>
      <c r="G133" s="34"/>
      <c r="H133" s="35"/>
      <c r="I133" s="35"/>
      <c r="J133" s="34"/>
      <c r="K133" s="27" t="str">
        <f aca="false">IF(H133="","",MAX(0,H133-IF(I133="",0,I133)))</f>
        <v/>
      </c>
      <c r="L133" s="25" t="str">
        <f aca="true">IF(H133="","",IF(I133&gt;=H133,"✅ Paid",IF(G133&lt;TODAY(),"🔴 Overdue",IF(G133&lt;=TODAY()+90,"🟡 Due Soon","⬜ Upcoming"))))</f>
        <v/>
      </c>
    </row>
    <row r="134" customFormat="false" ht="15" hidden="false" customHeight="false" outlineLevel="0" collapsed="false">
      <c r="A134" s="24" t="n">
        <v>132</v>
      </c>
      <c r="C134" s="26"/>
      <c r="D134" s="25" t="n">
        <f aca="false">IFERROR(INDEX('DATA ENTRY'!$S:$S,MATCH(C134,'DATA ENTRY'!$B:$B,0)),"")</f>
        <v>0</v>
      </c>
      <c r="E134" s="25" t="n">
        <f aca="false">IFERROR(INDEX('DATA ENTRY'!$C:$C,MATCH(C134,'DATA ENTRY'!$B:$B,0)),"")</f>
        <v>0</v>
      </c>
      <c r="F134" s="25" t="n">
        <f aca="false">IFERROR(INDEX('DATA ENTRY'!$E:$E,MATCH(C134,'DATA ENTRY'!$B:$B,0)),"")</f>
        <v>0</v>
      </c>
      <c r="G134" s="34"/>
      <c r="H134" s="35"/>
      <c r="I134" s="35"/>
      <c r="J134" s="34"/>
      <c r="K134" s="27" t="str">
        <f aca="false">IF(H134="","",MAX(0,H134-IF(I134="",0,I134)))</f>
        <v/>
      </c>
      <c r="L134" s="25" t="str">
        <f aca="true">IF(H134="","",IF(I134&gt;=H134,"✅ Paid",IF(G134&lt;TODAY(),"🔴 Overdue",IF(G134&lt;=TODAY()+90,"🟡 Due Soon","⬜ Upcoming"))))</f>
        <v/>
      </c>
    </row>
    <row r="135" customFormat="false" ht="15" hidden="false" customHeight="false" outlineLevel="0" collapsed="false">
      <c r="A135" s="24" t="n">
        <v>133</v>
      </c>
      <c r="C135" s="26"/>
      <c r="D135" s="25" t="n">
        <f aca="false">IFERROR(INDEX('DATA ENTRY'!$S:$S,MATCH(C135,'DATA ENTRY'!$B:$B,0)),"")</f>
        <v>0</v>
      </c>
      <c r="E135" s="25" t="n">
        <f aca="false">IFERROR(INDEX('DATA ENTRY'!$C:$C,MATCH(C135,'DATA ENTRY'!$B:$B,0)),"")</f>
        <v>0</v>
      </c>
      <c r="F135" s="25" t="n">
        <f aca="false">IFERROR(INDEX('DATA ENTRY'!$E:$E,MATCH(C135,'DATA ENTRY'!$B:$B,0)),"")</f>
        <v>0</v>
      </c>
      <c r="G135" s="34"/>
      <c r="H135" s="35"/>
      <c r="I135" s="35"/>
      <c r="J135" s="34"/>
      <c r="K135" s="27" t="str">
        <f aca="false">IF(H135="","",MAX(0,H135-IF(I135="",0,I135)))</f>
        <v/>
      </c>
      <c r="L135" s="25" t="str">
        <f aca="true">IF(H135="","",IF(I135&gt;=H135,"✅ Paid",IF(G135&lt;TODAY(),"🔴 Overdue",IF(G135&lt;=TODAY()+90,"🟡 Due Soon","⬜ Upcoming"))))</f>
        <v/>
      </c>
    </row>
    <row r="136" customFormat="false" ht="15" hidden="false" customHeight="false" outlineLevel="0" collapsed="false">
      <c r="A136" s="24" t="n">
        <v>134</v>
      </c>
      <c r="C136" s="26"/>
      <c r="D136" s="25" t="n">
        <f aca="false">IFERROR(INDEX('DATA ENTRY'!$S:$S,MATCH(C136,'DATA ENTRY'!$B:$B,0)),"")</f>
        <v>0</v>
      </c>
      <c r="E136" s="25" t="n">
        <f aca="false">IFERROR(INDEX('DATA ENTRY'!$C:$C,MATCH(C136,'DATA ENTRY'!$B:$B,0)),"")</f>
        <v>0</v>
      </c>
      <c r="F136" s="25" t="n">
        <f aca="false">IFERROR(INDEX('DATA ENTRY'!$E:$E,MATCH(C136,'DATA ENTRY'!$B:$B,0)),"")</f>
        <v>0</v>
      </c>
      <c r="G136" s="34"/>
      <c r="H136" s="35"/>
      <c r="I136" s="35"/>
      <c r="J136" s="34"/>
      <c r="K136" s="27" t="str">
        <f aca="false">IF(H136="","",MAX(0,H136-IF(I136="",0,I136)))</f>
        <v/>
      </c>
      <c r="L136" s="25" t="str">
        <f aca="true">IF(H136="","",IF(I136&gt;=H136,"✅ Paid",IF(G136&lt;TODAY(),"🔴 Overdue",IF(G136&lt;=TODAY()+90,"🟡 Due Soon","⬜ Upcoming"))))</f>
        <v/>
      </c>
    </row>
    <row r="137" customFormat="false" ht="15" hidden="false" customHeight="false" outlineLevel="0" collapsed="false">
      <c r="A137" s="24" t="n">
        <v>135</v>
      </c>
      <c r="C137" s="26"/>
      <c r="D137" s="25" t="n">
        <f aca="false">IFERROR(INDEX('DATA ENTRY'!$S:$S,MATCH(C137,'DATA ENTRY'!$B:$B,0)),"")</f>
        <v>0</v>
      </c>
      <c r="E137" s="25" t="n">
        <f aca="false">IFERROR(INDEX('DATA ENTRY'!$C:$C,MATCH(C137,'DATA ENTRY'!$B:$B,0)),"")</f>
        <v>0</v>
      </c>
      <c r="F137" s="25" t="n">
        <f aca="false">IFERROR(INDEX('DATA ENTRY'!$E:$E,MATCH(C137,'DATA ENTRY'!$B:$B,0)),"")</f>
        <v>0</v>
      </c>
      <c r="G137" s="34"/>
      <c r="H137" s="35"/>
      <c r="I137" s="35"/>
      <c r="J137" s="34"/>
      <c r="K137" s="27" t="str">
        <f aca="false">IF(H137="","",MAX(0,H137-IF(I137="",0,I137)))</f>
        <v/>
      </c>
      <c r="L137" s="25" t="str">
        <f aca="true">IF(H137="","",IF(I137&gt;=H137,"✅ Paid",IF(G137&lt;TODAY(),"🔴 Overdue",IF(G137&lt;=TODAY()+90,"🟡 Due Soon","⬜ Upcoming"))))</f>
        <v/>
      </c>
    </row>
    <row r="138" customFormat="false" ht="15" hidden="false" customHeight="false" outlineLevel="0" collapsed="false">
      <c r="A138" s="24" t="n">
        <v>136</v>
      </c>
      <c r="C138" s="26"/>
      <c r="D138" s="25" t="n">
        <f aca="false">IFERROR(INDEX('DATA ENTRY'!$S:$S,MATCH(C138,'DATA ENTRY'!$B:$B,0)),"")</f>
        <v>0</v>
      </c>
      <c r="E138" s="25" t="n">
        <f aca="false">IFERROR(INDEX('DATA ENTRY'!$C:$C,MATCH(C138,'DATA ENTRY'!$B:$B,0)),"")</f>
        <v>0</v>
      </c>
      <c r="F138" s="25" t="n">
        <f aca="false">IFERROR(INDEX('DATA ENTRY'!$E:$E,MATCH(C138,'DATA ENTRY'!$B:$B,0)),"")</f>
        <v>0</v>
      </c>
      <c r="G138" s="34"/>
      <c r="H138" s="35"/>
      <c r="I138" s="35"/>
      <c r="J138" s="34"/>
      <c r="K138" s="27" t="str">
        <f aca="false">IF(H138="","",MAX(0,H138-IF(I138="",0,I138)))</f>
        <v/>
      </c>
      <c r="L138" s="25" t="str">
        <f aca="true">IF(H138="","",IF(I138&gt;=H138,"✅ Paid",IF(G138&lt;TODAY(),"🔴 Overdue",IF(G138&lt;=TODAY()+90,"🟡 Due Soon","⬜ Upcoming"))))</f>
        <v/>
      </c>
    </row>
    <row r="139" customFormat="false" ht="15" hidden="false" customHeight="false" outlineLevel="0" collapsed="false">
      <c r="A139" s="24" t="n">
        <v>137</v>
      </c>
      <c r="C139" s="26"/>
      <c r="D139" s="25" t="n">
        <f aca="false">IFERROR(INDEX('DATA ENTRY'!$S:$S,MATCH(C139,'DATA ENTRY'!$B:$B,0)),"")</f>
        <v>0</v>
      </c>
      <c r="E139" s="25" t="n">
        <f aca="false">IFERROR(INDEX('DATA ENTRY'!$C:$C,MATCH(C139,'DATA ENTRY'!$B:$B,0)),"")</f>
        <v>0</v>
      </c>
      <c r="F139" s="25" t="n">
        <f aca="false">IFERROR(INDEX('DATA ENTRY'!$E:$E,MATCH(C139,'DATA ENTRY'!$B:$B,0)),"")</f>
        <v>0</v>
      </c>
      <c r="G139" s="34"/>
      <c r="H139" s="35"/>
      <c r="I139" s="35"/>
      <c r="J139" s="34"/>
      <c r="K139" s="27" t="str">
        <f aca="false">IF(H139="","",MAX(0,H139-IF(I139="",0,I139)))</f>
        <v/>
      </c>
      <c r="L139" s="25" t="str">
        <f aca="true">IF(H139="","",IF(I139&gt;=H139,"✅ Paid",IF(G139&lt;TODAY(),"🔴 Overdue",IF(G139&lt;=TODAY()+90,"🟡 Due Soon","⬜ Upcoming"))))</f>
        <v/>
      </c>
    </row>
    <row r="140" customFormat="false" ht="15" hidden="false" customHeight="false" outlineLevel="0" collapsed="false">
      <c r="A140" s="24" t="n">
        <v>138</v>
      </c>
      <c r="C140" s="26"/>
      <c r="D140" s="25" t="n">
        <f aca="false">IFERROR(INDEX('DATA ENTRY'!$S:$S,MATCH(C140,'DATA ENTRY'!$B:$B,0)),"")</f>
        <v>0</v>
      </c>
      <c r="E140" s="25" t="n">
        <f aca="false">IFERROR(INDEX('DATA ENTRY'!$C:$C,MATCH(C140,'DATA ENTRY'!$B:$B,0)),"")</f>
        <v>0</v>
      </c>
      <c r="F140" s="25" t="n">
        <f aca="false">IFERROR(INDEX('DATA ENTRY'!$E:$E,MATCH(C140,'DATA ENTRY'!$B:$B,0)),"")</f>
        <v>0</v>
      </c>
      <c r="G140" s="34"/>
      <c r="H140" s="35"/>
      <c r="I140" s="35"/>
      <c r="J140" s="34"/>
      <c r="K140" s="27" t="str">
        <f aca="false">IF(H140="","",MAX(0,H140-IF(I140="",0,I140)))</f>
        <v/>
      </c>
      <c r="L140" s="25" t="str">
        <f aca="true">IF(H140="","",IF(I140&gt;=H140,"✅ Paid",IF(G140&lt;TODAY(),"🔴 Overdue",IF(G140&lt;=TODAY()+90,"🟡 Due Soon","⬜ Upcoming"))))</f>
        <v/>
      </c>
    </row>
    <row r="141" customFormat="false" ht="15" hidden="false" customHeight="false" outlineLevel="0" collapsed="false">
      <c r="A141" s="24" t="n">
        <v>139</v>
      </c>
      <c r="C141" s="26"/>
      <c r="D141" s="25" t="n">
        <f aca="false">IFERROR(INDEX('DATA ENTRY'!$S:$S,MATCH(C141,'DATA ENTRY'!$B:$B,0)),"")</f>
        <v>0</v>
      </c>
      <c r="E141" s="25" t="n">
        <f aca="false">IFERROR(INDEX('DATA ENTRY'!$C:$C,MATCH(C141,'DATA ENTRY'!$B:$B,0)),"")</f>
        <v>0</v>
      </c>
      <c r="F141" s="25" t="n">
        <f aca="false">IFERROR(INDEX('DATA ENTRY'!$E:$E,MATCH(C141,'DATA ENTRY'!$B:$B,0)),"")</f>
        <v>0</v>
      </c>
      <c r="G141" s="34"/>
      <c r="H141" s="35"/>
      <c r="I141" s="35"/>
      <c r="J141" s="34"/>
      <c r="K141" s="27" t="str">
        <f aca="false">IF(H141="","",MAX(0,H141-IF(I141="",0,I141)))</f>
        <v/>
      </c>
      <c r="L141" s="25" t="str">
        <f aca="true">IF(H141="","",IF(I141&gt;=H141,"✅ Paid",IF(G141&lt;TODAY(),"🔴 Overdue",IF(G141&lt;=TODAY()+90,"🟡 Due Soon","⬜ Upcoming"))))</f>
        <v/>
      </c>
    </row>
    <row r="142" customFormat="false" ht="15" hidden="false" customHeight="false" outlineLevel="0" collapsed="false">
      <c r="A142" s="24" t="n">
        <v>140</v>
      </c>
      <c r="C142" s="26"/>
      <c r="D142" s="25" t="n">
        <f aca="false">IFERROR(INDEX('DATA ENTRY'!$S:$S,MATCH(C142,'DATA ENTRY'!$B:$B,0)),"")</f>
        <v>0</v>
      </c>
      <c r="E142" s="25" t="n">
        <f aca="false">IFERROR(INDEX('DATA ENTRY'!$C:$C,MATCH(C142,'DATA ENTRY'!$B:$B,0)),"")</f>
        <v>0</v>
      </c>
      <c r="F142" s="25" t="n">
        <f aca="false">IFERROR(INDEX('DATA ENTRY'!$E:$E,MATCH(C142,'DATA ENTRY'!$B:$B,0)),"")</f>
        <v>0</v>
      </c>
      <c r="G142" s="34"/>
      <c r="H142" s="35"/>
      <c r="I142" s="35"/>
      <c r="J142" s="34"/>
      <c r="K142" s="27" t="str">
        <f aca="false">IF(H142="","",MAX(0,H142-IF(I142="",0,I142)))</f>
        <v/>
      </c>
      <c r="L142" s="25" t="str">
        <f aca="true">IF(H142="","",IF(I142&gt;=H142,"✅ Paid",IF(G142&lt;TODAY(),"🔴 Overdue",IF(G142&lt;=TODAY()+90,"🟡 Due Soon","⬜ Upcoming"))))</f>
        <v/>
      </c>
    </row>
    <row r="143" customFormat="false" ht="15" hidden="false" customHeight="false" outlineLevel="0" collapsed="false">
      <c r="A143" s="24" t="n">
        <v>141</v>
      </c>
      <c r="C143" s="26"/>
      <c r="D143" s="25" t="n">
        <f aca="false">IFERROR(INDEX('DATA ENTRY'!$S:$S,MATCH(C143,'DATA ENTRY'!$B:$B,0)),"")</f>
        <v>0</v>
      </c>
      <c r="E143" s="25" t="n">
        <f aca="false">IFERROR(INDEX('DATA ENTRY'!$C:$C,MATCH(C143,'DATA ENTRY'!$B:$B,0)),"")</f>
        <v>0</v>
      </c>
      <c r="F143" s="25" t="n">
        <f aca="false">IFERROR(INDEX('DATA ENTRY'!$E:$E,MATCH(C143,'DATA ENTRY'!$B:$B,0)),"")</f>
        <v>0</v>
      </c>
      <c r="G143" s="34"/>
      <c r="H143" s="35"/>
      <c r="I143" s="35"/>
      <c r="J143" s="34"/>
      <c r="K143" s="27" t="str">
        <f aca="false">IF(H143="","",MAX(0,H143-IF(I143="",0,I143)))</f>
        <v/>
      </c>
      <c r="L143" s="25" t="str">
        <f aca="true">IF(H143="","",IF(I143&gt;=H143,"✅ Paid",IF(G143&lt;TODAY(),"🔴 Overdue",IF(G143&lt;=TODAY()+90,"🟡 Due Soon","⬜ Upcoming"))))</f>
        <v/>
      </c>
    </row>
    <row r="144" customFormat="false" ht="15" hidden="false" customHeight="false" outlineLevel="0" collapsed="false">
      <c r="A144" s="24" t="n">
        <v>142</v>
      </c>
      <c r="C144" s="26"/>
      <c r="D144" s="25" t="n">
        <f aca="false">IFERROR(INDEX('DATA ENTRY'!$S:$S,MATCH(C144,'DATA ENTRY'!$B:$B,0)),"")</f>
        <v>0</v>
      </c>
      <c r="E144" s="25" t="n">
        <f aca="false">IFERROR(INDEX('DATA ENTRY'!$C:$C,MATCH(C144,'DATA ENTRY'!$B:$B,0)),"")</f>
        <v>0</v>
      </c>
      <c r="F144" s="25" t="n">
        <f aca="false">IFERROR(INDEX('DATA ENTRY'!$E:$E,MATCH(C144,'DATA ENTRY'!$B:$B,0)),"")</f>
        <v>0</v>
      </c>
      <c r="G144" s="34"/>
      <c r="H144" s="35"/>
      <c r="I144" s="35"/>
      <c r="J144" s="34"/>
      <c r="K144" s="27" t="str">
        <f aca="false">IF(H144="","",MAX(0,H144-IF(I144="",0,I144)))</f>
        <v/>
      </c>
      <c r="L144" s="25" t="str">
        <f aca="true">IF(H144="","",IF(I144&gt;=H144,"✅ Paid",IF(G144&lt;TODAY(),"🔴 Overdue",IF(G144&lt;=TODAY()+90,"🟡 Due Soon","⬜ Upcoming"))))</f>
        <v/>
      </c>
    </row>
    <row r="145" customFormat="false" ht="15" hidden="false" customHeight="false" outlineLevel="0" collapsed="false">
      <c r="A145" s="24" t="n">
        <v>143</v>
      </c>
      <c r="C145" s="26"/>
      <c r="D145" s="25" t="n">
        <f aca="false">IFERROR(INDEX('DATA ENTRY'!$S:$S,MATCH(C145,'DATA ENTRY'!$B:$B,0)),"")</f>
        <v>0</v>
      </c>
      <c r="E145" s="25" t="n">
        <f aca="false">IFERROR(INDEX('DATA ENTRY'!$C:$C,MATCH(C145,'DATA ENTRY'!$B:$B,0)),"")</f>
        <v>0</v>
      </c>
      <c r="F145" s="25" t="n">
        <f aca="false">IFERROR(INDEX('DATA ENTRY'!$E:$E,MATCH(C145,'DATA ENTRY'!$B:$B,0)),"")</f>
        <v>0</v>
      </c>
      <c r="G145" s="34"/>
      <c r="H145" s="35"/>
      <c r="I145" s="35"/>
      <c r="J145" s="34"/>
      <c r="K145" s="27" t="str">
        <f aca="false">IF(H145="","",MAX(0,H145-IF(I145="",0,I145)))</f>
        <v/>
      </c>
      <c r="L145" s="25" t="str">
        <f aca="true">IF(H145="","",IF(I145&gt;=H145,"✅ Paid",IF(G145&lt;TODAY(),"🔴 Overdue",IF(G145&lt;=TODAY()+90,"🟡 Due Soon","⬜ Upcoming"))))</f>
        <v/>
      </c>
    </row>
    <row r="146" customFormat="false" ht="15" hidden="false" customHeight="false" outlineLevel="0" collapsed="false">
      <c r="A146" s="24" t="n">
        <v>144</v>
      </c>
      <c r="C146" s="26"/>
      <c r="D146" s="25" t="n">
        <f aca="false">IFERROR(INDEX('DATA ENTRY'!$S:$S,MATCH(C146,'DATA ENTRY'!$B:$B,0)),"")</f>
        <v>0</v>
      </c>
      <c r="E146" s="25" t="n">
        <f aca="false">IFERROR(INDEX('DATA ENTRY'!$C:$C,MATCH(C146,'DATA ENTRY'!$B:$B,0)),"")</f>
        <v>0</v>
      </c>
      <c r="F146" s="25" t="n">
        <f aca="false">IFERROR(INDEX('DATA ENTRY'!$E:$E,MATCH(C146,'DATA ENTRY'!$B:$B,0)),"")</f>
        <v>0</v>
      </c>
      <c r="G146" s="34"/>
      <c r="H146" s="35"/>
      <c r="I146" s="35"/>
      <c r="J146" s="34"/>
      <c r="K146" s="27" t="str">
        <f aca="false">IF(H146="","",MAX(0,H146-IF(I146="",0,I146)))</f>
        <v/>
      </c>
      <c r="L146" s="25" t="str">
        <f aca="true">IF(H146="","",IF(I146&gt;=H146,"✅ Paid",IF(G146&lt;TODAY(),"🔴 Overdue",IF(G146&lt;=TODAY()+90,"🟡 Due Soon","⬜ Upcoming"))))</f>
        <v/>
      </c>
    </row>
    <row r="147" customFormat="false" ht="15" hidden="false" customHeight="false" outlineLevel="0" collapsed="false">
      <c r="A147" s="24" t="n">
        <v>145</v>
      </c>
      <c r="C147" s="26"/>
      <c r="D147" s="25" t="n">
        <f aca="false">IFERROR(INDEX('DATA ENTRY'!$S:$S,MATCH(C147,'DATA ENTRY'!$B:$B,0)),"")</f>
        <v>0</v>
      </c>
      <c r="E147" s="25" t="n">
        <f aca="false">IFERROR(INDEX('DATA ENTRY'!$C:$C,MATCH(C147,'DATA ENTRY'!$B:$B,0)),"")</f>
        <v>0</v>
      </c>
      <c r="F147" s="25" t="n">
        <f aca="false">IFERROR(INDEX('DATA ENTRY'!$E:$E,MATCH(C147,'DATA ENTRY'!$B:$B,0)),"")</f>
        <v>0</v>
      </c>
      <c r="G147" s="34"/>
      <c r="H147" s="35"/>
      <c r="I147" s="35"/>
      <c r="J147" s="34"/>
      <c r="K147" s="27" t="str">
        <f aca="false">IF(H147="","",MAX(0,H147-IF(I147="",0,I147)))</f>
        <v/>
      </c>
      <c r="L147" s="25" t="str">
        <f aca="true">IF(H147="","",IF(I147&gt;=H147,"✅ Paid",IF(G147&lt;TODAY(),"🔴 Overdue",IF(G147&lt;=TODAY()+90,"🟡 Due Soon","⬜ Upcoming"))))</f>
        <v/>
      </c>
    </row>
    <row r="148" customFormat="false" ht="15" hidden="false" customHeight="false" outlineLevel="0" collapsed="false">
      <c r="A148" s="24" t="n">
        <v>146</v>
      </c>
      <c r="C148" s="26"/>
      <c r="D148" s="25" t="n">
        <f aca="false">IFERROR(INDEX('DATA ENTRY'!$S:$S,MATCH(C148,'DATA ENTRY'!$B:$B,0)),"")</f>
        <v>0</v>
      </c>
      <c r="E148" s="25" t="n">
        <f aca="false">IFERROR(INDEX('DATA ENTRY'!$C:$C,MATCH(C148,'DATA ENTRY'!$B:$B,0)),"")</f>
        <v>0</v>
      </c>
      <c r="F148" s="25" t="n">
        <f aca="false">IFERROR(INDEX('DATA ENTRY'!$E:$E,MATCH(C148,'DATA ENTRY'!$B:$B,0)),"")</f>
        <v>0</v>
      </c>
      <c r="G148" s="34"/>
      <c r="H148" s="35"/>
      <c r="I148" s="35"/>
      <c r="J148" s="34"/>
      <c r="K148" s="27" t="str">
        <f aca="false">IF(H148="","",MAX(0,H148-IF(I148="",0,I148)))</f>
        <v/>
      </c>
      <c r="L148" s="25" t="str">
        <f aca="true">IF(H148="","",IF(I148&gt;=H148,"✅ Paid",IF(G148&lt;TODAY(),"🔴 Overdue",IF(G148&lt;=TODAY()+90,"🟡 Due Soon","⬜ Upcoming"))))</f>
        <v/>
      </c>
    </row>
    <row r="149" customFormat="false" ht="15" hidden="false" customHeight="false" outlineLevel="0" collapsed="false">
      <c r="A149" s="24" t="n">
        <v>147</v>
      </c>
      <c r="C149" s="26"/>
      <c r="D149" s="25" t="n">
        <f aca="false">IFERROR(INDEX('DATA ENTRY'!$S:$S,MATCH(C149,'DATA ENTRY'!$B:$B,0)),"")</f>
        <v>0</v>
      </c>
      <c r="E149" s="25" t="n">
        <f aca="false">IFERROR(INDEX('DATA ENTRY'!$C:$C,MATCH(C149,'DATA ENTRY'!$B:$B,0)),"")</f>
        <v>0</v>
      </c>
      <c r="F149" s="25" t="n">
        <f aca="false">IFERROR(INDEX('DATA ENTRY'!$E:$E,MATCH(C149,'DATA ENTRY'!$B:$B,0)),"")</f>
        <v>0</v>
      </c>
      <c r="G149" s="34"/>
      <c r="H149" s="35"/>
      <c r="I149" s="35"/>
      <c r="J149" s="34"/>
      <c r="K149" s="27" t="str">
        <f aca="false">IF(H149="","",MAX(0,H149-IF(I149="",0,I149)))</f>
        <v/>
      </c>
      <c r="L149" s="25" t="str">
        <f aca="true">IF(H149="","",IF(I149&gt;=H149,"✅ Paid",IF(G149&lt;TODAY(),"🔴 Overdue",IF(G149&lt;=TODAY()+90,"🟡 Due Soon","⬜ Upcoming"))))</f>
        <v/>
      </c>
    </row>
    <row r="150" customFormat="false" ht="15" hidden="false" customHeight="false" outlineLevel="0" collapsed="false">
      <c r="A150" s="24" t="n">
        <v>148</v>
      </c>
      <c r="C150" s="26"/>
      <c r="D150" s="25" t="n">
        <f aca="false">IFERROR(INDEX('DATA ENTRY'!$S:$S,MATCH(C150,'DATA ENTRY'!$B:$B,0)),"")</f>
        <v>0</v>
      </c>
      <c r="E150" s="25" t="n">
        <f aca="false">IFERROR(INDEX('DATA ENTRY'!$C:$C,MATCH(C150,'DATA ENTRY'!$B:$B,0)),"")</f>
        <v>0</v>
      </c>
      <c r="F150" s="25" t="n">
        <f aca="false">IFERROR(INDEX('DATA ENTRY'!$E:$E,MATCH(C150,'DATA ENTRY'!$B:$B,0)),"")</f>
        <v>0</v>
      </c>
      <c r="G150" s="34"/>
      <c r="H150" s="35"/>
      <c r="I150" s="35"/>
      <c r="J150" s="34"/>
      <c r="K150" s="27" t="str">
        <f aca="false">IF(H150="","",MAX(0,H150-IF(I150="",0,I150)))</f>
        <v/>
      </c>
      <c r="L150" s="25" t="str">
        <f aca="true">IF(H150="","",IF(I150&gt;=H150,"✅ Paid",IF(G150&lt;TODAY(),"🔴 Overdue",IF(G150&lt;=TODAY()+90,"🟡 Due Soon","⬜ Upcoming"))))</f>
        <v/>
      </c>
    </row>
    <row r="151" customFormat="false" ht="15" hidden="false" customHeight="false" outlineLevel="0" collapsed="false">
      <c r="A151" s="24" t="n">
        <v>149</v>
      </c>
      <c r="C151" s="26"/>
      <c r="D151" s="25" t="n">
        <f aca="false">IFERROR(INDEX('DATA ENTRY'!$S:$S,MATCH(C151,'DATA ENTRY'!$B:$B,0)),"")</f>
        <v>0</v>
      </c>
      <c r="E151" s="25" t="n">
        <f aca="false">IFERROR(INDEX('DATA ENTRY'!$C:$C,MATCH(C151,'DATA ENTRY'!$B:$B,0)),"")</f>
        <v>0</v>
      </c>
      <c r="F151" s="25" t="n">
        <f aca="false">IFERROR(INDEX('DATA ENTRY'!$E:$E,MATCH(C151,'DATA ENTRY'!$B:$B,0)),"")</f>
        <v>0</v>
      </c>
      <c r="G151" s="34"/>
      <c r="H151" s="35"/>
      <c r="I151" s="35"/>
      <c r="J151" s="34"/>
      <c r="K151" s="27" t="str">
        <f aca="false">IF(H151="","",MAX(0,H151-IF(I151="",0,I151)))</f>
        <v/>
      </c>
      <c r="L151" s="25" t="str">
        <f aca="true">IF(H151="","",IF(I151&gt;=H151,"✅ Paid",IF(G151&lt;TODAY(),"🔴 Overdue",IF(G151&lt;=TODAY()+90,"🟡 Due Soon","⬜ Upcoming"))))</f>
        <v/>
      </c>
    </row>
    <row r="152" customFormat="false" ht="15" hidden="false" customHeight="false" outlineLevel="0" collapsed="false">
      <c r="A152" s="24" t="n">
        <v>150</v>
      </c>
      <c r="C152" s="26"/>
      <c r="D152" s="25" t="n">
        <f aca="false">IFERROR(INDEX('DATA ENTRY'!$S:$S,MATCH(C152,'DATA ENTRY'!$B:$B,0)),"")</f>
        <v>0</v>
      </c>
      <c r="E152" s="25" t="n">
        <f aca="false">IFERROR(INDEX('DATA ENTRY'!$C:$C,MATCH(C152,'DATA ENTRY'!$B:$B,0)),"")</f>
        <v>0</v>
      </c>
      <c r="F152" s="25" t="n">
        <f aca="false">IFERROR(INDEX('DATA ENTRY'!$E:$E,MATCH(C152,'DATA ENTRY'!$B:$B,0)),"")</f>
        <v>0</v>
      </c>
      <c r="G152" s="34"/>
      <c r="H152" s="35"/>
      <c r="I152" s="35"/>
      <c r="J152" s="34"/>
      <c r="K152" s="27" t="str">
        <f aca="false">IF(H152="","",MAX(0,H152-IF(I152="",0,I152)))</f>
        <v/>
      </c>
      <c r="L152" s="25" t="str">
        <f aca="true">IF(H152="","",IF(I152&gt;=H152,"✅ Paid",IF(G152&lt;TODAY(),"🔴 Overdue",IF(G152&lt;=TODAY()+90,"🟡 Due Soon","⬜ Upcoming"))))</f>
        <v/>
      </c>
    </row>
    <row r="153" customFormat="false" ht="15" hidden="false" customHeight="false" outlineLevel="0" collapsed="false">
      <c r="A153" s="24" t="n">
        <v>151</v>
      </c>
      <c r="C153" s="26"/>
      <c r="D153" s="25" t="n">
        <f aca="false">IFERROR(INDEX('DATA ENTRY'!$S:$S,MATCH(C153,'DATA ENTRY'!$B:$B,0)),"")</f>
        <v>0</v>
      </c>
      <c r="E153" s="25" t="n">
        <f aca="false">IFERROR(INDEX('DATA ENTRY'!$C:$C,MATCH(C153,'DATA ENTRY'!$B:$B,0)),"")</f>
        <v>0</v>
      </c>
      <c r="F153" s="25" t="n">
        <f aca="false">IFERROR(INDEX('DATA ENTRY'!$E:$E,MATCH(C153,'DATA ENTRY'!$B:$B,0)),"")</f>
        <v>0</v>
      </c>
      <c r="G153" s="34"/>
      <c r="H153" s="35"/>
      <c r="I153" s="35"/>
      <c r="J153" s="34"/>
      <c r="K153" s="27" t="str">
        <f aca="false">IF(H153="","",MAX(0,H153-IF(I153="",0,I153)))</f>
        <v/>
      </c>
      <c r="L153" s="25" t="str">
        <f aca="true">IF(H153="","",IF(I153&gt;=H153,"✅ Paid",IF(G153&lt;TODAY(),"🔴 Overdue",IF(G153&lt;=TODAY()+90,"🟡 Due Soon","⬜ Upcoming"))))</f>
        <v/>
      </c>
    </row>
    <row r="154" customFormat="false" ht="15" hidden="false" customHeight="false" outlineLevel="0" collapsed="false">
      <c r="A154" s="24" t="n">
        <v>152</v>
      </c>
      <c r="C154" s="26"/>
      <c r="D154" s="25" t="n">
        <f aca="false">IFERROR(INDEX('DATA ENTRY'!$S:$S,MATCH(C154,'DATA ENTRY'!$B:$B,0)),"")</f>
        <v>0</v>
      </c>
      <c r="E154" s="25" t="n">
        <f aca="false">IFERROR(INDEX('DATA ENTRY'!$C:$C,MATCH(C154,'DATA ENTRY'!$B:$B,0)),"")</f>
        <v>0</v>
      </c>
      <c r="F154" s="25" t="n">
        <f aca="false">IFERROR(INDEX('DATA ENTRY'!$E:$E,MATCH(C154,'DATA ENTRY'!$B:$B,0)),"")</f>
        <v>0</v>
      </c>
      <c r="G154" s="34"/>
      <c r="H154" s="35"/>
      <c r="I154" s="35"/>
      <c r="J154" s="34"/>
      <c r="K154" s="27" t="str">
        <f aca="false">IF(H154="","",MAX(0,H154-IF(I154="",0,I154)))</f>
        <v/>
      </c>
      <c r="L154" s="25" t="str">
        <f aca="true">IF(H154="","",IF(I154&gt;=H154,"✅ Paid",IF(G154&lt;TODAY(),"🔴 Overdue",IF(G154&lt;=TODAY()+90,"🟡 Due Soon","⬜ Upcoming"))))</f>
        <v/>
      </c>
    </row>
    <row r="155" customFormat="false" ht="15" hidden="false" customHeight="false" outlineLevel="0" collapsed="false">
      <c r="A155" s="24" t="n">
        <v>153</v>
      </c>
      <c r="C155" s="26"/>
      <c r="D155" s="25" t="n">
        <f aca="false">IFERROR(INDEX('DATA ENTRY'!$S:$S,MATCH(C155,'DATA ENTRY'!$B:$B,0)),"")</f>
        <v>0</v>
      </c>
      <c r="E155" s="25" t="n">
        <f aca="false">IFERROR(INDEX('DATA ENTRY'!$C:$C,MATCH(C155,'DATA ENTRY'!$B:$B,0)),"")</f>
        <v>0</v>
      </c>
      <c r="F155" s="25" t="n">
        <f aca="false">IFERROR(INDEX('DATA ENTRY'!$E:$E,MATCH(C155,'DATA ENTRY'!$B:$B,0)),"")</f>
        <v>0</v>
      </c>
      <c r="G155" s="34"/>
      <c r="H155" s="35"/>
      <c r="I155" s="35"/>
      <c r="J155" s="34"/>
      <c r="K155" s="27" t="str">
        <f aca="false">IF(H155="","",MAX(0,H155-IF(I155="",0,I155)))</f>
        <v/>
      </c>
      <c r="L155" s="25" t="str">
        <f aca="true">IF(H155="","",IF(I155&gt;=H155,"✅ Paid",IF(G155&lt;TODAY(),"🔴 Overdue",IF(G155&lt;=TODAY()+90,"🟡 Due Soon","⬜ Upcoming"))))</f>
        <v/>
      </c>
    </row>
    <row r="156" customFormat="false" ht="15" hidden="false" customHeight="false" outlineLevel="0" collapsed="false">
      <c r="A156" s="24" t="n">
        <v>154</v>
      </c>
      <c r="C156" s="26"/>
      <c r="D156" s="25" t="n">
        <f aca="false">IFERROR(INDEX('DATA ENTRY'!$S:$S,MATCH(C156,'DATA ENTRY'!$B:$B,0)),"")</f>
        <v>0</v>
      </c>
      <c r="E156" s="25" t="n">
        <f aca="false">IFERROR(INDEX('DATA ENTRY'!$C:$C,MATCH(C156,'DATA ENTRY'!$B:$B,0)),"")</f>
        <v>0</v>
      </c>
      <c r="F156" s="25" t="n">
        <f aca="false">IFERROR(INDEX('DATA ENTRY'!$E:$E,MATCH(C156,'DATA ENTRY'!$B:$B,0)),"")</f>
        <v>0</v>
      </c>
      <c r="G156" s="34"/>
      <c r="H156" s="35"/>
      <c r="I156" s="35"/>
      <c r="J156" s="34"/>
      <c r="K156" s="27" t="str">
        <f aca="false">IF(H156="","",MAX(0,H156-IF(I156="",0,I156)))</f>
        <v/>
      </c>
      <c r="L156" s="25" t="str">
        <f aca="true">IF(H156="","",IF(I156&gt;=H156,"✅ Paid",IF(G156&lt;TODAY(),"🔴 Overdue",IF(G156&lt;=TODAY()+90,"🟡 Due Soon","⬜ Upcoming"))))</f>
        <v/>
      </c>
    </row>
    <row r="157" customFormat="false" ht="15" hidden="false" customHeight="false" outlineLevel="0" collapsed="false">
      <c r="A157" s="24" t="n">
        <v>155</v>
      </c>
      <c r="C157" s="26"/>
      <c r="D157" s="25" t="n">
        <f aca="false">IFERROR(INDEX('DATA ENTRY'!$S:$S,MATCH(C157,'DATA ENTRY'!$B:$B,0)),"")</f>
        <v>0</v>
      </c>
      <c r="E157" s="25" t="n">
        <f aca="false">IFERROR(INDEX('DATA ENTRY'!$C:$C,MATCH(C157,'DATA ENTRY'!$B:$B,0)),"")</f>
        <v>0</v>
      </c>
      <c r="F157" s="25" t="n">
        <f aca="false">IFERROR(INDEX('DATA ENTRY'!$E:$E,MATCH(C157,'DATA ENTRY'!$B:$B,0)),"")</f>
        <v>0</v>
      </c>
      <c r="G157" s="34"/>
      <c r="H157" s="35"/>
      <c r="I157" s="35"/>
      <c r="J157" s="34"/>
      <c r="K157" s="27" t="str">
        <f aca="false">IF(H157="","",MAX(0,H157-IF(I157="",0,I157)))</f>
        <v/>
      </c>
      <c r="L157" s="25" t="str">
        <f aca="true">IF(H157="","",IF(I157&gt;=H157,"✅ Paid",IF(G157&lt;TODAY(),"🔴 Overdue",IF(G157&lt;=TODAY()+90,"🟡 Due Soon","⬜ Upcoming"))))</f>
        <v/>
      </c>
    </row>
    <row r="158" customFormat="false" ht="15" hidden="false" customHeight="false" outlineLevel="0" collapsed="false">
      <c r="A158" s="24" t="n">
        <v>156</v>
      </c>
      <c r="C158" s="26"/>
      <c r="D158" s="25" t="n">
        <f aca="false">IFERROR(INDEX('DATA ENTRY'!$S:$S,MATCH(C158,'DATA ENTRY'!$B:$B,0)),"")</f>
        <v>0</v>
      </c>
      <c r="E158" s="25" t="n">
        <f aca="false">IFERROR(INDEX('DATA ENTRY'!$C:$C,MATCH(C158,'DATA ENTRY'!$B:$B,0)),"")</f>
        <v>0</v>
      </c>
      <c r="F158" s="25" t="n">
        <f aca="false">IFERROR(INDEX('DATA ENTRY'!$E:$E,MATCH(C158,'DATA ENTRY'!$B:$B,0)),"")</f>
        <v>0</v>
      </c>
      <c r="G158" s="34"/>
      <c r="H158" s="35"/>
      <c r="I158" s="35"/>
      <c r="J158" s="34"/>
      <c r="K158" s="27" t="str">
        <f aca="false">IF(H158="","",MAX(0,H158-IF(I158="",0,I158)))</f>
        <v/>
      </c>
      <c r="L158" s="25" t="str">
        <f aca="true">IF(H158="","",IF(I158&gt;=H158,"✅ Paid",IF(G158&lt;TODAY(),"🔴 Overdue",IF(G158&lt;=TODAY()+90,"🟡 Due Soon","⬜ Upcoming"))))</f>
        <v/>
      </c>
    </row>
    <row r="159" customFormat="false" ht="15" hidden="false" customHeight="false" outlineLevel="0" collapsed="false">
      <c r="A159" s="24" t="n">
        <v>157</v>
      </c>
      <c r="C159" s="26"/>
      <c r="D159" s="25" t="n">
        <f aca="false">IFERROR(INDEX('DATA ENTRY'!$S:$S,MATCH(C159,'DATA ENTRY'!$B:$B,0)),"")</f>
        <v>0</v>
      </c>
      <c r="E159" s="25" t="n">
        <f aca="false">IFERROR(INDEX('DATA ENTRY'!$C:$C,MATCH(C159,'DATA ENTRY'!$B:$B,0)),"")</f>
        <v>0</v>
      </c>
      <c r="F159" s="25" t="n">
        <f aca="false">IFERROR(INDEX('DATA ENTRY'!$E:$E,MATCH(C159,'DATA ENTRY'!$B:$B,0)),"")</f>
        <v>0</v>
      </c>
      <c r="G159" s="34"/>
      <c r="H159" s="35"/>
      <c r="I159" s="35"/>
      <c r="J159" s="34"/>
      <c r="K159" s="27" t="str">
        <f aca="false">IF(H159="","",MAX(0,H159-IF(I159="",0,I159)))</f>
        <v/>
      </c>
      <c r="L159" s="25" t="str">
        <f aca="true">IF(H159="","",IF(I159&gt;=H159,"✅ Paid",IF(G159&lt;TODAY(),"🔴 Overdue",IF(G159&lt;=TODAY()+90,"🟡 Due Soon","⬜ Upcoming"))))</f>
        <v/>
      </c>
    </row>
    <row r="160" customFormat="false" ht="15" hidden="false" customHeight="false" outlineLevel="0" collapsed="false">
      <c r="A160" s="24" t="n">
        <v>158</v>
      </c>
      <c r="C160" s="26"/>
      <c r="D160" s="25" t="n">
        <f aca="false">IFERROR(INDEX('DATA ENTRY'!$S:$S,MATCH(C160,'DATA ENTRY'!$B:$B,0)),"")</f>
        <v>0</v>
      </c>
      <c r="E160" s="25" t="n">
        <f aca="false">IFERROR(INDEX('DATA ENTRY'!$C:$C,MATCH(C160,'DATA ENTRY'!$B:$B,0)),"")</f>
        <v>0</v>
      </c>
      <c r="F160" s="25" t="n">
        <f aca="false">IFERROR(INDEX('DATA ENTRY'!$E:$E,MATCH(C160,'DATA ENTRY'!$B:$B,0)),"")</f>
        <v>0</v>
      </c>
      <c r="G160" s="34"/>
      <c r="H160" s="35"/>
      <c r="I160" s="35"/>
      <c r="J160" s="34"/>
      <c r="K160" s="27" t="str">
        <f aca="false">IF(H160="","",MAX(0,H160-IF(I160="",0,I160)))</f>
        <v/>
      </c>
      <c r="L160" s="25" t="str">
        <f aca="true">IF(H160="","",IF(I160&gt;=H160,"✅ Paid",IF(G160&lt;TODAY(),"🔴 Overdue",IF(G160&lt;=TODAY()+90,"🟡 Due Soon","⬜ Upcoming"))))</f>
        <v/>
      </c>
    </row>
    <row r="161" customFormat="false" ht="15" hidden="false" customHeight="false" outlineLevel="0" collapsed="false">
      <c r="A161" s="24" t="n">
        <v>159</v>
      </c>
      <c r="C161" s="26"/>
      <c r="D161" s="25" t="n">
        <f aca="false">IFERROR(INDEX('DATA ENTRY'!$S:$S,MATCH(C161,'DATA ENTRY'!$B:$B,0)),"")</f>
        <v>0</v>
      </c>
      <c r="E161" s="25" t="n">
        <f aca="false">IFERROR(INDEX('DATA ENTRY'!$C:$C,MATCH(C161,'DATA ENTRY'!$B:$B,0)),"")</f>
        <v>0</v>
      </c>
      <c r="F161" s="25" t="n">
        <f aca="false">IFERROR(INDEX('DATA ENTRY'!$E:$E,MATCH(C161,'DATA ENTRY'!$B:$B,0)),"")</f>
        <v>0</v>
      </c>
      <c r="G161" s="34"/>
      <c r="H161" s="35"/>
      <c r="I161" s="35"/>
      <c r="J161" s="34"/>
      <c r="K161" s="27" t="str">
        <f aca="false">IF(H161="","",MAX(0,H161-IF(I161="",0,I161)))</f>
        <v/>
      </c>
      <c r="L161" s="25" t="str">
        <f aca="true">IF(H161="","",IF(I161&gt;=H161,"✅ Paid",IF(G161&lt;TODAY(),"🔴 Overdue",IF(G161&lt;=TODAY()+90,"🟡 Due Soon","⬜ Upcoming"))))</f>
        <v/>
      </c>
    </row>
    <row r="162" customFormat="false" ht="15" hidden="false" customHeight="false" outlineLevel="0" collapsed="false">
      <c r="A162" s="24" t="n">
        <v>160</v>
      </c>
      <c r="C162" s="26"/>
      <c r="D162" s="25" t="n">
        <f aca="false">IFERROR(INDEX('DATA ENTRY'!$S:$S,MATCH(C162,'DATA ENTRY'!$B:$B,0)),"")</f>
        <v>0</v>
      </c>
      <c r="E162" s="25" t="n">
        <f aca="false">IFERROR(INDEX('DATA ENTRY'!$C:$C,MATCH(C162,'DATA ENTRY'!$B:$B,0)),"")</f>
        <v>0</v>
      </c>
      <c r="F162" s="25" t="n">
        <f aca="false">IFERROR(INDEX('DATA ENTRY'!$E:$E,MATCH(C162,'DATA ENTRY'!$B:$B,0)),"")</f>
        <v>0</v>
      </c>
      <c r="G162" s="34"/>
      <c r="H162" s="35"/>
      <c r="I162" s="35"/>
      <c r="J162" s="34"/>
      <c r="K162" s="27" t="str">
        <f aca="false">IF(H162="","",MAX(0,H162-IF(I162="",0,I162)))</f>
        <v/>
      </c>
      <c r="L162" s="25" t="str">
        <f aca="true">IF(H162="","",IF(I162&gt;=H162,"✅ Paid",IF(G162&lt;TODAY(),"🔴 Overdue",IF(G162&lt;=TODAY()+90,"🟡 Due Soon","⬜ Upcoming"))))</f>
        <v/>
      </c>
    </row>
    <row r="163" customFormat="false" ht="15" hidden="false" customHeight="false" outlineLevel="0" collapsed="false">
      <c r="A163" s="24" t="n">
        <v>161</v>
      </c>
      <c r="C163" s="26"/>
      <c r="D163" s="25" t="n">
        <f aca="false">IFERROR(INDEX('DATA ENTRY'!$S:$S,MATCH(C163,'DATA ENTRY'!$B:$B,0)),"")</f>
        <v>0</v>
      </c>
      <c r="E163" s="25" t="n">
        <f aca="false">IFERROR(INDEX('DATA ENTRY'!$C:$C,MATCH(C163,'DATA ENTRY'!$B:$B,0)),"")</f>
        <v>0</v>
      </c>
      <c r="F163" s="25" t="n">
        <f aca="false">IFERROR(INDEX('DATA ENTRY'!$E:$E,MATCH(C163,'DATA ENTRY'!$B:$B,0)),"")</f>
        <v>0</v>
      </c>
      <c r="G163" s="34"/>
      <c r="H163" s="35"/>
      <c r="I163" s="35"/>
      <c r="J163" s="34"/>
      <c r="K163" s="27" t="str">
        <f aca="false">IF(H163="","",MAX(0,H163-IF(I163="",0,I163)))</f>
        <v/>
      </c>
      <c r="L163" s="25" t="str">
        <f aca="true">IF(H163="","",IF(I163&gt;=H163,"✅ Paid",IF(G163&lt;TODAY(),"🔴 Overdue",IF(G163&lt;=TODAY()+90,"🟡 Due Soon","⬜ Upcoming"))))</f>
        <v/>
      </c>
    </row>
    <row r="164" customFormat="false" ht="15" hidden="false" customHeight="false" outlineLevel="0" collapsed="false">
      <c r="A164" s="24" t="n">
        <v>162</v>
      </c>
      <c r="C164" s="26"/>
      <c r="D164" s="25" t="n">
        <f aca="false">IFERROR(INDEX('DATA ENTRY'!$S:$S,MATCH(C164,'DATA ENTRY'!$B:$B,0)),"")</f>
        <v>0</v>
      </c>
      <c r="E164" s="25" t="n">
        <f aca="false">IFERROR(INDEX('DATA ENTRY'!$C:$C,MATCH(C164,'DATA ENTRY'!$B:$B,0)),"")</f>
        <v>0</v>
      </c>
      <c r="F164" s="25" t="n">
        <f aca="false">IFERROR(INDEX('DATA ENTRY'!$E:$E,MATCH(C164,'DATA ENTRY'!$B:$B,0)),"")</f>
        <v>0</v>
      </c>
      <c r="G164" s="34"/>
      <c r="H164" s="35"/>
      <c r="I164" s="35"/>
      <c r="J164" s="34"/>
      <c r="K164" s="27" t="str">
        <f aca="false">IF(H164="","",MAX(0,H164-IF(I164="",0,I164)))</f>
        <v/>
      </c>
      <c r="L164" s="25" t="str">
        <f aca="true">IF(H164="","",IF(I164&gt;=H164,"✅ Paid",IF(G164&lt;TODAY(),"🔴 Overdue",IF(G164&lt;=TODAY()+90,"🟡 Due Soon","⬜ Upcoming"))))</f>
        <v/>
      </c>
    </row>
    <row r="165" customFormat="false" ht="15" hidden="false" customHeight="false" outlineLevel="0" collapsed="false">
      <c r="A165" s="24" t="n">
        <v>163</v>
      </c>
      <c r="C165" s="26"/>
      <c r="D165" s="25" t="n">
        <f aca="false">IFERROR(INDEX('DATA ENTRY'!$S:$S,MATCH(C165,'DATA ENTRY'!$B:$B,0)),"")</f>
        <v>0</v>
      </c>
      <c r="E165" s="25" t="n">
        <f aca="false">IFERROR(INDEX('DATA ENTRY'!$C:$C,MATCH(C165,'DATA ENTRY'!$B:$B,0)),"")</f>
        <v>0</v>
      </c>
      <c r="F165" s="25" t="n">
        <f aca="false">IFERROR(INDEX('DATA ENTRY'!$E:$E,MATCH(C165,'DATA ENTRY'!$B:$B,0)),"")</f>
        <v>0</v>
      </c>
      <c r="G165" s="34"/>
      <c r="H165" s="35"/>
      <c r="I165" s="35"/>
      <c r="J165" s="34"/>
      <c r="K165" s="27" t="str">
        <f aca="false">IF(H165="","",MAX(0,H165-IF(I165="",0,I165)))</f>
        <v/>
      </c>
      <c r="L165" s="25" t="str">
        <f aca="true">IF(H165="","",IF(I165&gt;=H165,"✅ Paid",IF(G165&lt;TODAY(),"🔴 Overdue",IF(G165&lt;=TODAY()+90,"🟡 Due Soon","⬜ Upcoming"))))</f>
        <v/>
      </c>
    </row>
    <row r="166" customFormat="false" ht="15" hidden="false" customHeight="false" outlineLevel="0" collapsed="false">
      <c r="A166" s="24" t="n">
        <v>164</v>
      </c>
      <c r="C166" s="26"/>
      <c r="D166" s="25" t="n">
        <f aca="false">IFERROR(INDEX('DATA ENTRY'!$S:$S,MATCH(C166,'DATA ENTRY'!$B:$B,0)),"")</f>
        <v>0</v>
      </c>
      <c r="E166" s="25" t="n">
        <f aca="false">IFERROR(INDEX('DATA ENTRY'!$C:$C,MATCH(C166,'DATA ENTRY'!$B:$B,0)),"")</f>
        <v>0</v>
      </c>
      <c r="F166" s="25" t="n">
        <f aca="false">IFERROR(INDEX('DATA ENTRY'!$E:$E,MATCH(C166,'DATA ENTRY'!$B:$B,0)),"")</f>
        <v>0</v>
      </c>
      <c r="G166" s="34"/>
      <c r="H166" s="35"/>
      <c r="I166" s="35"/>
      <c r="J166" s="34"/>
      <c r="K166" s="27" t="str">
        <f aca="false">IF(H166="","",MAX(0,H166-IF(I166="",0,I166)))</f>
        <v/>
      </c>
      <c r="L166" s="25" t="str">
        <f aca="true">IF(H166="","",IF(I166&gt;=H166,"✅ Paid",IF(G166&lt;TODAY(),"🔴 Overdue",IF(G166&lt;=TODAY()+90,"🟡 Due Soon","⬜ Upcoming"))))</f>
        <v/>
      </c>
    </row>
    <row r="167" customFormat="false" ht="15" hidden="false" customHeight="false" outlineLevel="0" collapsed="false">
      <c r="A167" s="24" t="n">
        <v>165</v>
      </c>
      <c r="C167" s="26"/>
      <c r="D167" s="25" t="n">
        <f aca="false">IFERROR(INDEX('DATA ENTRY'!$S:$S,MATCH(C167,'DATA ENTRY'!$B:$B,0)),"")</f>
        <v>0</v>
      </c>
      <c r="E167" s="25" t="n">
        <f aca="false">IFERROR(INDEX('DATA ENTRY'!$C:$C,MATCH(C167,'DATA ENTRY'!$B:$B,0)),"")</f>
        <v>0</v>
      </c>
      <c r="F167" s="25" t="n">
        <f aca="false">IFERROR(INDEX('DATA ENTRY'!$E:$E,MATCH(C167,'DATA ENTRY'!$B:$B,0)),"")</f>
        <v>0</v>
      </c>
      <c r="G167" s="34"/>
      <c r="H167" s="35"/>
      <c r="I167" s="35"/>
      <c r="J167" s="34"/>
      <c r="K167" s="27" t="str">
        <f aca="false">IF(H167="","",MAX(0,H167-IF(I167="",0,I167)))</f>
        <v/>
      </c>
      <c r="L167" s="25" t="str">
        <f aca="true">IF(H167="","",IF(I167&gt;=H167,"✅ Paid",IF(G167&lt;TODAY(),"🔴 Overdue",IF(G167&lt;=TODAY()+90,"🟡 Due Soon","⬜ Upcoming"))))</f>
        <v/>
      </c>
    </row>
    <row r="168" customFormat="false" ht="15" hidden="false" customHeight="false" outlineLevel="0" collapsed="false">
      <c r="A168" s="24" t="n">
        <v>166</v>
      </c>
      <c r="C168" s="26"/>
      <c r="D168" s="25" t="n">
        <f aca="false">IFERROR(INDEX('DATA ENTRY'!$S:$S,MATCH(C168,'DATA ENTRY'!$B:$B,0)),"")</f>
        <v>0</v>
      </c>
      <c r="E168" s="25" t="n">
        <f aca="false">IFERROR(INDEX('DATA ENTRY'!$C:$C,MATCH(C168,'DATA ENTRY'!$B:$B,0)),"")</f>
        <v>0</v>
      </c>
      <c r="F168" s="25" t="n">
        <f aca="false">IFERROR(INDEX('DATA ENTRY'!$E:$E,MATCH(C168,'DATA ENTRY'!$B:$B,0)),"")</f>
        <v>0</v>
      </c>
      <c r="G168" s="34"/>
      <c r="H168" s="35"/>
      <c r="I168" s="35"/>
      <c r="J168" s="34"/>
      <c r="K168" s="27" t="str">
        <f aca="false">IF(H168="","",MAX(0,H168-IF(I168="",0,I168)))</f>
        <v/>
      </c>
      <c r="L168" s="25" t="str">
        <f aca="true">IF(H168="","",IF(I168&gt;=H168,"✅ Paid",IF(G168&lt;TODAY(),"🔴 Overdue",IF(G168&lt;=TODAY()+90,"🟡 Due Soon","⬜ Upcoming"))))</f>
        <v/>
      </c>
    </row>
    <row r="169" customFormat="false" ht="15" hidden="false" customHeight="false" outlineLevel="0" collapsed="false">
      <c r="A169" s="24" t="n">
        <v>167</v>
      </c>
      <c r="C169" s="26"/>
      <c r="D169" s="25" t="n">
        <f aca="false">IFERROR(INDEX('DATA ENTRY'!$S:$S,MATCH(C169,'DATA ENTRY'!$B:$B,0)),"")</f>
        <v>0</v>
      </c>
      <c r="E169" s="25" t="n">
        <f aca="false">IFERROR(INDEX('DATA ENTRY'!$C:$C,MATCH(C169,'DATA ENTRY'!$B:$B,0)),"")</f>
        <v>0</v>
      </c>
      <c r="F169" s="25" t="n">
        <f aca="false">IFERROR(INDEX('DATA ENTRY'!$E:$E,MATCH(C169,'DATA ENTRY'!$B:$B,0)),"")</f>
        <v>0</v>
      </c>
      <c r="G169" s="34"/>
      <c r="H169" s="35"/>
      <c r="I169" s="35"/>
      <c r="J169" s="34"/>
      <c r="K169" s="27" t="str">
        <f aca="false">IF(H169="","",MAX(0,H169-IF(I169="",0,I169)))</f>
        <v/>
      </c>
      <c r="L169" s="25" t="str">
        <f aca="true">IF(H169="","",IF(I169&gt;=H169,"✅ Paid",IF(G169&lt;TODAY(),"🔴 Overdue",IF(G169&lt;=TODAY()+90,"🟡 Due Soon","⬜ Upcoming"))))</f>
        <v/>
      </c>
    </row>
    <row r="170" customFormat="false" ht="15" hidden="false" customHeight="false" outlineLevel="0" collapsed="false">
      <c r="A170" s="24" t="n">
        <v>168</v>
      </c>
      <c r="C170" s="26"/>
      <c r="D170" s="25" t="n">
        <f aca="false">IFERROR(INDEX('DATA ENTRY'!$S:$S,MATCH(C170,'DATA ENTRY'!$B:$B,0)),"")</f>
        <v>0</v>
      </c>
      <c r="E170" s="25" t="n">
        <f aca="false">IFERROR(INDEX('DATA ENTRY'!$C:$C,MATCH(C170,'DATA ENTRY'!$B:$B,0)),"")</f>
        <v>0</v>
      </c>
      <c r="F170" s="25" t="n">
        <f aca="false">IFERROR(INDEX('DATA ENTRY'!$E:$E,MATCH(C170,'DATA ENTRY'!$B:$B,0)),"")</f>
        <v>0</v>
      </c>
      <c r="G170" s="34"/>
      <c r="H170" s="35"/>
      <c r="I170" s="35"/>
      <c r="J170" s="34"/>
      <c r="K170" s="27" t="str">
        <f aca="false">IF(H170="","",MAX(0,H170-IF(I170="",0,I170)))</f>
        <v/>
      </c>
      <c r="L170" s="25" t="str">
        <f aca="true">IF(H170="","",IF(I170&gt;=H170,"✅ Paid",IF(G170&lt;TODAY(),"🔴 Overdue",IF(G170&lt;=TODAY()+90,"🟡 Due Soon","⬜ Upcoming"))))</f>
        <v/>
      </c>
    </row>
    <row r="171" customFormat="false" ht="15" hidden="false" customHeight="false" outlineLevel="0" collapsed="false">
      <c r="A171" s="24" t="n">
        <v>169</v>
      </c>
      <c r="C171" s="26"/>
      <c r="D171" s="25" t="n">
        <f aca="false">IFERROR(INDEX('DATA ENTRY'!$S:$S,MATCH(C171,'DATA ENTRY'!$B:$B,0)),"")</f>
        <v>0</v>
      </c>
      <c r="E171" s="25" t="n">
        <f aca="false">IFERROR(INDEX('DATA ENTRY'!$C:$C,MATCH(C171,'DATA ENTRY'!$B:$B,0)),"")</f>
        <v>0</v>
      </c>
      <c r="F171" s="25" t="n">
        <f aca="false">IFERROR(INDEX('DATA ENTRY'!$E:$E,MATCH(C171,'DATA ENTRY'!$B:$B,0)),"")</f>
        <v>0</v>
      </c>
      <c r="G171" s="34"/>
      <c r="H171" s="35"/>
      <c r="I171" s="35"/>
      <c r="J171" s="34"/>
      <c r="K171" s="27" t="str">
        <f aca="false">IF(H171="","",MAX(0,H171-IF(I171="",0,I171)))</f>
        <v/>
      </c>
      <c r="L171" s="25" t="str">
        <f aca="true">IF(H171="","",IF(I171&gt;=H171,"✅ Paid",IF(G171&lt;TODAY(),"🔴 Overdue",IF(G171&lt;=TODAY()+90,"🟡 Due Soon","⬜ Upcoming"))))</f>
        <v/>
      </c>
    </row>
    <row r="172" customFormat="false" ht="15" hidden="false" customHeight="false" outlineLevel="0" collapsed="false">
      <c r="A172" s="24" t="n">
        <v>170</v>
      </c>
      <c r="C172" s="26"/>
      <c r="D172" s="25" t="n">
        <f aca="false">IFERROR(INDEX('DATA ENTRY'!$S:$S,MATCH(C172,'DATA ENTRY'!$B:$B,0)),"")</f>
        <v>0</v>
      </c>
      <c r="E172" s="25" t="n">
        <f aca="false">IFERROR(INDEX('DATA ENTRY'!$C:$C,MATCH(C172,'DATA ENTRY'!$B:$B,0)),"")</f>
        <v>0</v>
      </c>
      <c r="F172" s="25" t="n">
        <f aca="false">IFERROR(INDEX('DATA ENTRY'!$E:$E,MATCH(C172,'DATA ENTRY'!$B:$B,0)),"")</f>
        <v>0</v>
      </c>
      <c r="G172" s="34"/>
      <c r="H172" s="35"/>
      <c r="I172" s="35"/>
      <c r="J172" s="34"/>
      <c r="K172" s="27" t="str">
        <f aca="false">IF(H172="","",MAX(0,H172-IF(I172="",0,I172)))</f>
        <v/>
      </c>
      <c r="L172" s="25" t="str">
        <f aca="true">IF(H172="","",IF(I172&gt;=H172,"✅ Paid",IF(G172&lt;TODAY(),"🔴 Overdue",IF(G172&lt;=TODAY()+90,"🟡 Due Soon","⬜ Upcoming"))))</f>
        <v/>
      </c>
    </row>
    <row r="173" customFormat="false" ht="15" hidden="false" customHeight="false" outlineLevel="0" collapsed="false">
      <c r="A173" s="24" t="n">
        <v>171</v>
      </c>
      <c r="C173" s="26"/>
      <c r="D173" s="25" t="n">
        <f aca="false">IFERROR(INDEX('DATA ENTRY'!$S:$S,MATCH(C173,'DATA ENTRY'!$B:$B,0)),"")</f>
        <v>0</v>
      </c>
      <c r="E173" s="25" t="n">
        <f aca="false">IFERROR(INDEX('DATA ENTRY'!$C:$C,MATCH(C173,'DATA ENTRY'!$B:$B,0)),"")</f>
        <v>0</v>
      </c>
      <c r="F173" s="25" t="n">
        <f aca="false">IFERROR(INDEX('DATA ENTRY'!$E:$E,MATCH(C173,'DATA ENTRY'!$B:$B,0)),"")</f>
        <v>0</v>
      </c>
      <c r="G173" s="34"/>
      <c r="H173" s="35"/>
      <c r="I173" s="35"/>
      <c r="J173" s="34"/>
      <c r="K173" s="27" t="str">
        <f aca="false">IF(H173="","",MAX(0,H173-IF(I173="",0,I173)))</f>
        <v/>
      </c>
      <c r="L173" s="25" t="str">
        <f aca="true">IF(H173="","",IF(I173&gt;=H173,"✅ Paid",IF(G173&lt;TODAY(),"🔴 Overdue",IF(G173&lt;=TODAY()+90,"🟡 Due Soon","⬜ Upcoming"))))</f>
        <v/>
      </c>
    </row>
    <row r="174" customFormat="false" ht="15" hidden="false" customHeight="false" outlineLevel="0" collapsed="false">
      <c r="A174" s="24" t="n">
        <v>172</v>
      </c>
      <c r="C174" s="26"/>
      <c r="D174" s="25" t="n">
        <f aca="false">IFERROR(INDEX('DATA ENTRY'!$S:$S,MATCH(C174,'DATA ENTRY'!$B:$B,0)),"")</f>
        <v>0</v>
      </c>
      <c r="E174" s="25" t="n">
        <f aca="false">IFERROR(INDEX('DATA ENTRY'!$C:$C,MATCH(C174,'DATA ENTRY'!$B:$B,0)),"")</f>
        <v>0</v>
      </c>
      <c r="F174" s="25" t="n">
        <f aca="false">IFERROR(INDEX('DATA ENTRY'!$E:$E,MATCH(C174,'DATA ENTRY'!$B:$B,0)),"")</f>
        <v>0</v>
      </c>
      <c r="G174" s="34"/>
      <c r="H174" s="35"/>
      <c r="I174" s="35"/>
      <c r="J174" s="34"/>
      <c r="K174" s="27" t="str">
        <f aca="false">IF(H174="","",MAX(0,H174-IF(I174="",0,I174)))</f>
        <v/>
      </c>
      <c r="L174" s="25" t="str">
        <f aca="true">IF(H174="","",IF(I174&gt;=H174,"✅ Paid",IF(G174&lt;TODAY(),"🔴 Overdue",IF(G174&lt;=TODAY()+90,"🟡 Due Soon","⬜ Upcoming"))))</f>
        <v/>
      </c>
    </row>
    <row r="175" customFormat="false" ht="15" hidden="false" customHeight="false" outlineLevel="0" collapsed="false">
      <c r="A175" s="24" t="n">
        <v>173</v>
      </c>
      <c r="C175" s="26"/>
      <c r="D175" s="25" t="n">
        <f aca="false">IFERROR(INDEX('DATA ENTRY'!$S:$S,MATCH(C175,'DATA ENTRY'!$B:$B,0)),"")</f>
        <v>0</v>
      </c>
      <c r="E175" s="25" t="n">
        <f aca="false">IFERROR(INDEX('DATA ENTRY'!$C:$C,MATCH(C175,'DATA ENTRY'!$B:$B,0)),"")</f>
        <v>0</v>
      </c>
      <c r="F175" s="25" t="n">
        <f aca="false">IFERROR(INDEX('DATA ENTRY'!$E:$E,MATCH(C175,'DATA ENTRY'!$B:$B,0)),"")</f>
        <v>0</v>
      </c>
      <c r="G175" s="34"/>
      <c r="H175" s="35"/>
      <c r="I175" s="35"/>
      <c r="J175" s="34"/>
      <c r="K175" s="27" t="str">
        <f aca="false">IF(H175="","",MAX(0,H175-IF(I175="",0,I175)))</f>
        <v/>
      </c>
      <c r="L175" s="25" t="str">
        <f aca="true">IF(H175="","",IF(I175&gt;=H175,"✅ Paid",IF(G175&lt;TODAY(),"🔴 Overdue",IF(G175&lt;=TODAY()+90,"🟡 Due Soon","⬜ Upcoming"))))</f>
        <v/>
      </c>
    </row>
    <row r="176" customFormat="false" ht="15" hidden="false" customHeight="false" outlineLevel="0" collapsed="false">
      <c r="A176" s="24" t="n">
        <v>174</v>
      </c>
      <c r="C176" s="26"/>
      <c r="D176" s="25" t="n">
        <f aca="false">IFERROR(INDEX('DATA ENTRY'!$S:$S,MATCH(C176,'DATA ENTRY'!$B:$B,0)),"")</f>
        <v>0</v>
      </c>
      <c r="E176" s="25" t="n">
        <f aca="false">IFERROR(INDEX('DATA ENTRY'!$C:$C,MATCH(C176,'DATA ENTRY'!$B:$B,0)),"")</f>
        <v>0</v>
      </c>
      <c r="F176" s="25" t="n">
        <f aca="false">IFERROR(INDEX('DATA ENTRY'!$E:$E,MATCH(C176,'DATA ENTRY'!$B:$B,0)),"")</f>
        <v>0</v>
      </c>
      <c r="G176" s="34"/>
      <c r="H176" s="35"/>
      <c r="I176" s="35"/>
      <c r="J176" s="34"/>
      <c r="K176" s="27" t="str">
        <f aca="false">IF(H176="","",MAX(0,H176-IF(I176="",0,I176)))</f>
        <v/>
      </c>
      <c r="L176" s="25" t="str">
        <f aca="true">IF(H176="","",IF(I176&gt;=H176,"✅ Paid",IF(G176&lt;TODAY(),"🔴 Overdue",IF(G176&lt;=TODAY()+90,"🟡 Due Soon","⬜ Upcoming"))))</f>
        <v/>
      </c>
    </row>
    <row r="177" customFormat="false" ht="15" hidden="false" customHeight="false" outlineLevel="0" collapsed="false">
      <c r="A177" s="24" t="n">
        <v>175</v>
      </c>
      <c r="C177" s="26"/>
      <c r="D177" s="25" t="n">
        <f aca="false">IFERROR(INDEX('DATA ENTRY'!$S:$S,MATCH(C177,'DATA ENTRY'!$B:$B,0)),"")</f>
        <v>0</v>
      </c>
      <c r="E177" s="25" t="n">
        <f aca="false">IFERROR(INDEX('DATA ENTRY'!$C:$C,MATCH(C177,'DATA ENTRY'!$B:$B,0)),"")</f>
        <v>0</v>
      </c>
      <c r="F177" s="25" t="n">
        <f aca="false">IFERROR(INDEX('DATA ENTRY'!$E:$E,MATCH(C177,'DATA ENTRY'!$B:$B,0)),"")</f>
        <v>0</v>
      </c>
      <c r="G177" s="34"/>
      <c r="H177" s="35"/>
      <c r="I177" s="35"/>
      <c r="J177" s="34"/>
      <c r="K177" s="27" t="str">
        <f aca="false">IF(H177="","",MAX(0,H177-IF(I177="",0,I177)))</f>
        <v/>
      </c>
      <c r="L177" s="25" t="str">
        <f aca="true">IF(H177="","",IF(I177&gt;=H177,"✅ Paid",IF(G177&lt;TODAY(),"🔴 Overdue",IF(G177&lt;=TODAY()+90,"🟡 Due Soon","⬜ Upcoming"))))</f>
        <v/>
      </c>
    </row>
    <row r="178" customFormat="false" ht="15" hidden="false" customHeight="false" outlineLevel="0" collapsed="false">
      <c r="A178" s="24" t="n">
        <v>176</v>
      </c>
      <c r="C178" s="26"/>
      <c r="D178" s="25" t="n">
        <f aca="false">IFERROR(INDEX('DATA ENTRY'!$S:$S,MATCH(C178,'DATA ENTRY'!$B:$B,0)),"")</f>
        <v>0</v>
      </c>
      <c r="E178" s="25" t="n">
        <f aca="false">IFERROR(INDEX('DATA ENTRY'!$C:$C,MATCH(C178,'DATA ENTRY'!$B:$B,0)),"")</f>
        <v>0</v>
      </c>
      <c r="F178" s="25" t="n">
        <f aca="false">IFERROR(INDEX('DATA ENTRY'!$E:$E,MATCH(C178,'DATA ENTRY'!$B:$B,0)),"")</f>
        <v>0</v>
      </c>
      <c r="G178" s="34"/>
      <c r="H178" s="35"/>
      <c r="I178" s="35"/>
      <c r="J178" s="34"/>
      <c r="K178" s="27" t="str">
        <f aca="false">IF(H178="","",MAX(0,H178-IF(I178="",0,I178)))</f>
        <v/>
      </c>
      <c r="L178" s="25" t="str">
        <f aca="true">IF(H178="","",IF(I178&gt;=H178,"✅ Paid",IF(G178&lt;TODAY(),"🔴 Overdue",IF(G178&lt;=TODAY()+90,"🟡 Due Soon","⬜ Upcoming"))))</f>
        <v/>
      </c>
    </row>
    <row r="179" customFormat="false" ht="15" hidden="false" customHeight="false" outlineLevel="0" collapsed="false">
      <c r="A179" s="24" t="n">
        <v>177</v>
      </c>
      <c r="C179" s="26"/>
      <c r="D179" s="25" t="n">
        <f aca="false">IFERROR(INDEX('DATA ENTRY'!$S:$S,MATCH(C179,'DATA ENTRY'!$B:$B,0)),"")</f>
        <v>0</v>
      </c>
      <c r="E179" s="25" t="n">
        <f aca="false">IFERROR(INDEX('DATA ENTRY'!$C:$C,MATCH(C179,'DATA ENTRY'!$B:$B,0)),"")</f>
        <v>0</v>
      </c>
      <c r="F179" s="25" t="n">
        <f aca="false">IFERROR(INDEX('DATA ENTRY'!$E:$E,MATCH(C179,'DATA ENTRY'!$B:$B,0)),"")</f>
        <v>0</v>
      </c>
      <c r="G179" s="34"/>
      <c r="H179" s="35"/>
      <c r="I179" s="35"/>
      <c r="J179" s="34"/>
      <c r="K179" s="27" t="str">
        <f aca="false">IF(H179="","",MAX(0,H179-IF(I179="",0,I179)))</f>
        <v/>
      </c>
      <c r="L179" s="25" t="str">
        <f aca="true">IF(H179="","",IF(I179&gt;=H179,"✅ Paid",IF(G179&lt;TODAY(),"🔴 Overdue",IF(G179&lt;=TODAY()+90,"🟡 Due Soon","⬜ Upcoming"))))</f>
        <v/>
      </c>
    </row>
    <row r="180" customFormat="false" ht="15" hidden="false" customHeight="false" outlineLevel="0" collapsed="false">
      <c r="A180" s="24" t="n">
        <v>178</v>
      </c>
      <c r="C180" s="26"/>
      <c r="D180" s="25" t="n">
        <f aca="false">IFERROR(INDEX('DATA ENTRY'!$S:$S,MATCH(C180,'DATA ENTRY'!$B:$B,0)),"")</f>
        <v>0</v>
      </c>
      <c r="E180" s="25" t="n">
        <f aca="false">IFERROR(INDEX('DATA ENTRY'!$C:$C,MATCH(C180,'DATA ENTRY'!$B:$B,0)),"")</f>
        <v>0</v>
      </c>
      <c r="F180" s="25" t="n">
        <f aca="false">IFERROR(INDEX('DATA ENTRY'!$E:$E,MATCH(C180,'DATA ENTRY'!$B:$B,0)),"")</f>
        <v>0</v>
      </c>
      <c r="G180" s="34"/>
      <c r="H180" s="35"/>
      <c r="I180" s="35"/>
      <c r="J180" s="34"/>
      <c r="K180" s="27" t="str">
        <f aca="false">IF(H180="","",MAX(0,H180-IF(I180="",0,I180)))</f>
        <v/>
      </c>
      <c r="L180" s="25" t="str">
        <f aca="true">IF(H180="","",IF(I180&gt;=H180,"✅ Paid",IF(G180&lt;TODAY(),"🔴 Overdue",IF(G180&lt;=TODAY()+90,"🟡 Due Soon","⬜ Upcoming"))))</f>
        <v/>
      </c>
    </row>
    <row r="181" customFormat="false" ht="15" hidden="false" customHeight="false" outlineLevel="0" collapsed="false">
      <c r="A181" s="24" t="n">
        <v>179</v>
      </c>
      <c r="C181" s="26"/>
      <c r="D181" s="25" t="n">
        <f aca="false">IFERROR(INDEX('DATA ENTRY'!$S:$S,MATCH(C181,'DATA ENTRY'!$B:$B,0)),"")</f>
        <v>0</v>
      </c>
      <c r="E181" s="25" t="n">
        <f aca="false">IFERROR(INDEX('DATA ENTRY'!$C:$C,MATCH(C181,'DATA ENTRY'!$B:$B,0)),"")</f>
        <v>0</v>
      </c>
      <c r="F181" s="25" t="n">
        <f aca="false">IFERROR(INDEX('DATA ENTRY'!$E:$E,MATCH(C181,'DATA ENTRY'!$B:$B,0)),"")</f>
        <v>0</v>
      </c>
      <c r="G181" s="34"/>
      <c r="H181" s="35"/>
      <c r="I181" s="35"/>
      <c r="J181" s="34"/>
      <c r="K181" s="27" t="str">
        <f aca="false">IF(H181="","",MAX(0,H181-IF(I181="",0,I181)))</f>
        <v/>
      </c>
      <c r="L181" s="25" t="str">
        <f aca="true">IF(H181="","",IF(I181&gt;=H181,"✅ Paid",IF(G181&lt;TODAY(),"🔴 Overdue",IF(G181&lt;=TODAY()+90,"🟡 Due Soon","⬜ Upcoming"))))</f>
        <v/>
      </c>
    </row>
    <row r="182" customFormat="false" ht="15" hidden="false" customHeight="false" outlineLevel="0" collapsed="false">
      <c r="A182" s="24" t="n">
        <v>180</v>
      </c>
      <c r="C182" s="26"/>
      <c r="D182" s="25" t="n">
        <f aca="false">IFERROR(INDEX('DATA ENTRY'!$S:$S,MATCH(C182,'DATA ENTRY'!$B:$B,0)),"")</f>
        <v>0</v>
      </c>
      <c r="E182" s="25" t="n">
        <f aca="false">IFERROR(INDEX('DATA ENTRY'!$C:$C,MATCH(C182,'DATA ENTRY'!$B:$B,0)),"")</f>
        <v>0</v>
      </c>
      <c r="F182" s="25" t="n">
        <f aca="false">IFERROR(INDEX('DATA ENTRY'!$E:$E,MATCH(C182,'DATA ENTRY'!$B:$B,0)),"")</f>
        <v>0</v>
      </c>
      <c r="G182" s="34"/>
      <c r="H182" s="35"/>
      <c r="I182" s="35"/>
      <c r="J182" s="34"/>
      <c r="K182" s="27" t="str">
        <f aca="false">IF(H182="","",MAX(0,H182-IF(I182="",0,I182)))</f>
        <v/>
      </c>
      <c r="L182" s="25" t="str">
        <f aca="true">IF(H182="","",IF(I182&gt;=H182,"✅ Paid",IF(G182&lt;TODAY(),"🔴 Overdue",IF(G182&lt;=TODAY()+90,"🟡 Due Soon","⬜ Upcoming"))))</f>
        <v/>
      </c>
    </row>
    <row r="183" customFormat="false" ht="15" hidden="false" customHeight="false" outlineLevel="0" collapsed="false">
      <c r="A183" s="24" t="n">
        <v>181</v>
      </c>
      <c r="C183" s="26"/>
      <c r="D183" s="25" t="n">
        <f aca="false">IFERROR(INDEX('DATA ENTRY'!$S:$S,MATCH(C183,'DATA ENTRY'!$B:$B,0)),"")</f>
        <v>0</v>
      </c>
      <c r="E183" s="25" t="n">
        <f aca="false">IFERROR(INDEX('DATA ENTRY'!$C:$C,MATCH(C183,'DATA ENTRY'!$B:$B,0)),"")</f>
        <v>0</v>
      </c>
      <c r="F183" s="25" t="n">
        <f aca="false">IFERROR(INDEX('DATA ENTRY'!$E:$E,MATCH(C183,'DATA ENTRY'!$B:$B,0)),"")</f>
        <v>0</v>
      </c>
      <c r="G183" s="34"/>
      <c r="H183" s="35"/>
      <c r="I183" s="35"/>
      <c r="J183" s="34"/>
      <c r="K183" s="27" t="str">
        <f aca="false">IF(H183="","",MAX(0,H183-IF(I183="",0,I183)))</f>
        <v/>
      </c>
      <c r="L183" s="25" t="str">
        <f aca="true">IF(H183="","",IF(I183&gt;=H183,"✅ Paid",IF(G183&lt;TODAY(),"🔴 Overdue",IF(G183&lt;=TODAY()+90,"🟡 Due Soon","⬜ Upcoming"))))</f>
        <v/>
      </c>
    </row>
    <row r="184" customFormat="false" ht="15" hidden="false" customHeight="false" outlineLevel="0" collapsed="false">
      <c r="A184" s="24" t="n">
        <v>182</v>
      </c>
      <c r="C184" s="26"/>
      <c r="D184" s="25" t="n">
        <f aca="false">IFERROR(INDEX('DATA ENTRY'!$S:$S,MATCH(C184,'DATA ENTRY'!$B:$B,0)),"")</f>
        <v>0</v>
      </c>
      <c r="E184" s="25" t="n">
        <f aca="false">IFERROR(INDEX('DATA ENTRY'!$C:$C,MATCH(C184,'DATA ENTRY'!$B:$B,0)),"")</f>
        <v>0</v>
      </c>
      <c r="F184" s="25" t="n">
        <f aca="false">IFERROR(INDEX('DATA ENTRY'!$E:$E,MATCH(C184,'DATA ENTRY'!$B:$B,0)),"")</f>
        <v>0</v>
      </c>
      <c r="G184" s="34"/>
      <c r="H184" s="35"/>
      <c r="I184" s="35"/>
      <c r="J184" s="34"/>
      <c r="K184" s="27" t="str">
        <f aca="false">IF(H184="","",MAX(0,H184-IF(I184="",0,I184)))</f>
        <v/>
      </c>
      <c r="L184" s="25" t="str">
        <f aca="true">IF(H184="","",IF(I184&gt;=H184,"✅ Paid",IF(G184&lt;TODAY(),"🔴 Overdue",IF(G184&lt;=TODAY()+90,"🟡 Due Soon","⬜ Upcoming"))))</f>
        <v/>
      </c>
    </row>
    <row r="185" customFormat="false" ht="15" hidden="false" customHeight="false" outlineLevel="0" collapsed="false">
      <c r="A185" s="24" t="n">
        <v>183</v>
      </c>
      <c r="C185" s="26"/>
      <c r="D185" s="25" t="n">
        <f aca="false">IFERROR(INDEX('DATA ENTRY'!$S:$S,MATCH(C185,'DATA ENTRY'!$B:$B,0)),"")</f>
        <v>0</v>
      </c>
      <c r="E185" s="25" t="n">
        <f aca="false">IFERROR(INDEX('DATA ENTRY'!$C:$C,MATCH(C185,'DATA ENTRY'!$B:$B,0)),"")</f>
        <v>0</v>
      </c>
      <c r="F185" s="25" t="n">
        <f aca="false">IFERROR(INDEX('DATA ENTRY'!$E:$E,MATCH(C185,'DATA ENTRY'!$B:$B,0)),"")</f>
        <v>0</v>
      </c>
      <c r="G185" s="34"/>
      <c r="H185" s="35"/>
      <c r="I185" s="35"/>
      <c r="J185" s="34"/>
      <c r="K185" s="27" t="str">
        <f aca="false">IF(H185="","",MAX(0,H185-IF(I185="",0,I185)))</f>
        <v/>
      </c>
      <c r="L185" s="25" t="str">
        <f aca="true">IF(H185="","",IF(I185&gt;=H185,"✅ Paid",IF(G185&lt;TODAY(),"🔴 Overdue",IF(G185&lt;=TODAY()+90,"🟡 Due Soon","⬜ Upcoming"))))</f>
        <v/>
      </c>
    </row>
    <row r="186" customFormat="false" ht="15" hidden="false" customHeight="false" outlineLevel="0" collapsed="false">
      <c r="A186" s="24" t="n">
        <v>184</v>
      </c>
      <c r="C186" s="26"/>
      <c r="D186" s="25" t="n">
        <f aca="false">IFERROR(INDEX('DATA ENTRY'!$S:$S,MATCH(C186,'DATA ENTRY'!$B:$B,0)),"")</f>
        <v>0</v>
      </c>
      <c r="E186" s="25" t="n">
        <f aca="false">IFERROR(INDEX('DATA ENTRY'!$C:$C,MATCH(C186,'DATA ENTRY'!$B:$B,0)),"")</f>
        <v>0</v>
      </c>
      <c r="F186" s="25" t="n">
        <f aca="false">IFERROR(INDEX('DATA ENTRY'!$E:$E,MATCH(C186,'DATA ENTRY'!$B:$B,0)),"")</f>
        <v>0</v>
      </c>
      <c r="G186" s="34"/>
      <c r="H186" s="35"/>
      <c r="I186" s="35"/>
      <c r="J186" s="34"/>
      <c r="K186" s="27" t="str">
        <f aca="false">IF(H186="","",MAX(0,H186-IF(I186="",0,I186)))</f>
        <v/>
      </c>
      <c r="L186" s="25" t="str">
        <f aca="true">IF(H186="","",IF(I186&gt;=H186,"✅ Paid",IF(G186&lt;TODAY(),"🔴 Overdue",IF(G186&lt;=TODAY()+90,"🟡 Due Soon","⬜ Upcoming"))))</f>
        <v/>
      </c>
    </row>
    <row r="187" customFormat="false" ht="15" hidden="false" customHeight="false" outlineLevel="0" collapsed="false">
      <c r="A187" s="24" t="n">
        <v>185</v>
      </c>
      <c r="C187" s="26"/>
      <c r="D187" s="25" t="n">
        <f aca="false">IFERROR(INDEX('DATA ENTRY'!$S:$S,MATCH(C187,'DATA ENTRY'!$B:$B,0)),"")</f>
        <v>0</v>
      </c>
      <c r="E187" s="25" t="n">
        <f aca="false">IFERROR(INDEX('DATA ENTRY'!$C:$C,MATCH(C187,'DATA ENTRY'!$B:$B,0)),"")</f>
        <v>0</v>
      </c>
      <c r="F187" s="25" t="n">
        <f aca="false">IFERROR(INDEX('DATA ENTRY'!$E:$E,MATCH(C187,'DATA ENTRY'!$B:$B,0)),"")</f>
        <v>0</v>
      </c>
      <c r="G187" s="34"/>
      <c r="H187" s="35"/>
      <c r="I187" s="35"/>
      <c r="J187" s="34"/>
      <c r="K187" s="27" t="str">
        <f aca="false">IF(H187="","",MAX(0,H187-IF(I187="",0,I187)))</f>
        <v/>
      </c>
      <c r="L187" s="25" t="str">
        <f aca="true">IF(H187="","",IF(I187&gt;=H187,"✅ Paid",IF(G187&lt;TODAY(),"🔴 Overdue",IF(G187&lt;=TODAY()+90,"🟡 Due Soon","⬜ Upcoming"))))</f>
        <v/>
      </c>
    </row>
    <row r="188" customFormat="false" ht="15" hidden="false" customHeight="false" outlineLevel="0" collapsed="false">
      <c r="A188" s="24" t="n">
        <v>186</v>
      </c>
      <c r="C188" s="26"/>
      <c r="D188" s="25" t="n">
        <f aca="false">IFERROR(INDEX('DATA ENTRY'!$S:$S,MATCH(C188,'DATA ENTRY'!$B:$B,0)),"")</f>
        <v>0</v>
      </c>
      <c r="E188" s="25" t="n">
        <f aca="false">IFERROR(INDEX('DATA ENTRY'!$C:$C,MATCH(C188,'DATA ENTRY'!$B:$B,0)),"")</f>
        <v>0</v>
      </c>
      <c r="F188" s="25" t="n">
        <f aca="false">IFERROR(INDEX('DATA ENTRY'!$E:$E,MATCH(C188,'DATA ENTRY'!$B:$B,0)),"")</f>
        <v>0</v>
      </c>
      <c r="G188" s="34"/>
      <c r="H188" s="35"/>
      <c r="I188" s="35"/>
      <c r="J188" s="34"/>
      <c r="K188" s="27" t="str">
        <f aca="false">IF(H188="","",MAX(0,H188-IF(I188="",0,I188)))</f>
        <v/>
      </c>
      <c r="L188" s="25" t="str">
        <f aca="true">IF(H188="","",IF(I188&gt;=H188,"✅ Paid",IF(G188&lt;TODAY(),"🔴 Overdue",IF(G188&lt;=TODAY()+90,"🟡 Due Soon","⬜ Upcoming"))))</f>
        <v/>
      </c>
    </row>
    <row r="189" customFormat="false" ht="15" hidden="false" customHeight="false" outlineLevel="0" collapsed="false">
      <c r="A189" s="24" t="n">
        <v>187</v>
      </c>
      <c r="C189" s="26"/>
      <c r="D189" s="25" t="n">
        <f aca="false">IFERROR(INDEX('DATA ENTRY'!$S:$S,MATCH(C189,'DATA ENTRY'!$B:$B,0)),"")</f>
        <v>0</v>
      </c>
      <c r="E189" s="25" t="n">
        <f aca="false">IFERROR(INDEX('DATA ENTRY'!$C:$C,MATCH(C189,'DATA ENTRY'!$B:$B,0)),"")</f>
        <v>0</v>
      </c>
      <c r="F189" s="25" t="n">
        <f aca="false">IFERROR(INDEX('DATA ENTRY'!$E:$E,MATCH(C189,'DATA ENTRY'!$B:$B,0)),"")</f>
        <v>0</v>
      </c>
      <c r="G189" s="34"/>
      <c r="H189" s="35"/>
      <c r="I189" s="35"/>
      <c r="J189" s="34"/>
      <c r="K189" s="27" t="str">
        <f aca="false">IF(H189="","",MAX(0,H189-IF(I189="",0,I189)))</f>
        <v/>
      </c>
      <c r="L189" s="25" t="str">
        <f aca="true">IF(H189="","",IF(I189&gt;=H189,"✅ Paid",IF(G189&lt;TODAY(),"🔴 Overdue",IF(G189&lt;=TODAY()+90,"🟡 Due Soon","⬜ Upcoming"))))</f>
        <v/>
      </c>
    </row>
    <row r="190" customFormat="false" ht="15" hidden="false" customHeight="false" outlineLevel="0" collapsed="false">
      <c r="A190" s="24" t="n">
        <v>188</v>
      </c>
      <c r="C190" s="26"/>
      <c r="D190" s="25" t="n">
        <f aca="false">IFERROR(INDEX('DATA ENTRY'!$S:$S,MATCH(C190,'DATA ENTRY'!$B:$B,0)),"")</f>
        <v>0</v>
      </c>
      <c r="E190" s="25" t="n">
        <f aca="false">IFERROR(INDEX('DATA ENTRY'!$C:$C,MATCH(C190,'DATA ENTRY'!$B:$B,0)),"")</f>
        <v>0</v>
      </c>
      <c r="F190" s="25" t="n">
        <f aca="false">IFERROR(INDEX('DATA ENTRY'!$E:$E,MATCH(C190,'DATA ENTRY'!$B:$B,0)),"")</f>
        <v>0</v>
      </c>
      <c r="G190" s="34"/>
      <c r="H190" s="35"/>
      <c r="I190" s="35"/>
      <c r="J190" s="34"/>
      <c r="K190" s="27" t="str">
        <f aca="false">IF(H190="","",MAX(0,H190-IF(I190="",0,I190)))</f>
        <v/>
      </c>
      <c r="L190" s="25" t="str">
        <f aca="true">IF(H190="","",IF(I190&gt;=H190,"✅ Paid",IF(G190&lt;TODAY(),"🔴 Overdue",IF(G190&lt;=TODAY()+90,"🟡 Due Soon","⬜ Upcoming"))))</f>
        <v/>
      </c>
    </row>
    <row r="191" customFormat="false" ht="15" hidden="false" customHeight="false" outlineLevel="0" collapsed="false">
      <c r="A191" s="24" t="n">
        <v>189</v>
      </c>
      <c r="C191" s="26"/>
      <c r="D191" s="25" t="n">
        <f aca="false">IFERROR(INDEX('DATA ENTRY'!$S:$S,MATCH(C191,'DATA ENTRY'!$B:$B,0)),"")</f>
        <v>0</v>
      </c>
      <c r="E191" s="25" t="n">
        <f aca="false">IFERROR(INDEX('DATA ENTRY'!$C:$C,MATCH(C191,'DATA ENTRY'!$B:$B,0)),"")</f>
        <v>0</v>
      </c>
      <c r="F191" s="25" t="n">
        <f aca="false">IFERROR(INDEX('DATA ENTRY'!$E:$E,MATCH(C191,'DATA ENTRY'!$B:$B,0)),"")</f>
        <v>0</v>
      </c>
      <c r="G191" s="34"/>
      <c r="H191" s="35"/>
      <c r="I191" s="35"/>
      <c r="J191" s="34"/>
      <c r="K191" s="27" t="str">
        <f aca="false">IF(H191="","",MAX(0,H191-IF(I191="",0,I191)))</f>
        <v/>
      </c>
      <c r="L191" s="25" t="str">
        <f aca="true">IF(H191="","",IF(I191&gt;=H191,"✅ Paid",IF(G191&lt;TODAY(),"🔴 Overdue",IF(G191&lt;=TODAY()+90,"🟡 Due Soon","⬜ Upcoming"))))</f>
        <v/>
      </c>
    </row>
    <row r="192" customFormat="false" ht="15" hidden="false" customHeight="false" outlineLevel="0" collapsed="false">
      <c r="A192" s="24" t="n">
        <v>190</v>
      </c>
      <c r="C192" s="26"/>
      <c r="D192" s="25" t="n">
        <f aca="false">IFERROR(INDEX('DATA ENTRY'!$S:$S,MATCH(C192,'DATA ENTRY'!$B:$B,0)),"")</f>
        <v>0</v>
      </c>
      <c r="E192" s="25" t="n">
        <f aca="false">IFERROR(INDEX('DATA ENTRY'!$C:$C,MATCH(C192,'DATA ENTRY'!$B:$B,0)),"")</f>
        <v>0</v>
      </c>
      <c r="F192" s="25" t="n">
        <f aca="false">IFERROR(INDEX('DATA ENTRY'!$E:$E,MATCH(C192,'DATA ENTRY'!$B:$B,0)),"")</f>
        <v>0</v>
      </c>
      <c r="G192" s="34"/>
      <c r="H192" s="35"/>
      <c r="I192" s="35"/>
      <c r="J192" s="34"/>
      <c r="K192" s="27" t="str">
        <f aca="false">IF(H192="","",MAX(0,H192-IF(I192="",0,I192)))</f>
        <v/>
      </c>
      <c r="L192" s="25" t="str">
        <f aca="true">IF(H192="","",IF(I192&gt;=H192,"✅ Paid",IF(G192&lt;TODAY(),"🔴 Overdue",IF(G192&lt;=TODAY()+90,"🟡 Due Soon","⬜ Upcoming"))))</f>
        <v/>
      </c>
    </row>
    <row r="193" customFormat="false" ht="15" hidden="false" customHeight="false" outlineLevel="0" collapsed="false">
      <c r="A193" s="24" t="n">
        <v>191</v>
      </c>
      <c r="C193" s="26"/>
      <c r="D193" s="25" t="n">
        <f aca="false">IFERROR(INDEX('DATA ENTRY'!$S:$S,MATCH(C193,'DATA ENTRY'!$B:$B,0)),"")</f>
        <v>0</v>
      </c>
      <c r="E193" s="25" t="n">
        <f aca="false">IFERROR(INDEX('DATA ENTRY'!$C:$C,MATCH(C193,'DATA ENTRY'!$B:$B,0)),"")</f>
        <v>0</v>
      </c>
      <c r="F193" s="25" t="n">
        <f aca="false">IFERROR(INDEX('DATA ENTRY'!$E:$E,MATCH(C193,'DATA ENTRY'!$B:$B,0)),"")</f>
        <v>0</v>
      </c>
      <c r="G193" s="34"/>
      <c r="H193" s="35"/>
      <c r="I193" s="35"/>
      <c r="J193" s="34"/>
      <c r="K193" s="27" t="str">
        <f aca="false">IF(H193="","",MAX(0,H193-IF(I193="",0,I193)))</f>
        <v/>
      </c>
      <c r="L193" s="25" t="str">
        <f aca="true">IF(H193="","",IF(I193&gt;=H193,"✅ Paid",IF(G193&lt;TODAY(),"🔴 Overdue",IF(G193&lt;=TODAY()+90,"🟡 Due Soon","⬜ Upcoming"))))</f>
        <v/>
      </c>
    </row>
    <row r="194" customFormat="false" ht="15" hidden="false" customHeight="false" outlineLevel="0" collapsed="false">
      <c r="A194" s="24" t="n">
        <v>192</v>
      </c>
      <c r="C194" s="26"/>
      <c r="D194" s="25" t="n">
        <f aca="false">IFERROR(INDEX('DATA ENTRY'!$S:$S,MATCH(C194,'DATA ENTRY'!$B:$B,0)),"")</f>
        <v>0</v>
      </c>
      <c r="E194" s="25" t="n">
        <f aca="false">IFERROR(INDEX('DATA ENTRY'!$C:$C,MATCH(C194,'DATA ENTRY'!$B:$B,0)),"")</f>
        <v>0</v>
      </c>
      <c r="F194" s="25" t="n">
        <f aca="false">IFERROR(INDEX('DATA ENTRY'!$E:$E,MATCH(C194,'DATA ENTRY'!$B:$B,0)),"")</f>
        <v>0</v>
      </c>
      <c r="G194" s="34"/>
      <c r="H194" s="35"/>
      <c r="I194" s="35"/>
      <c r="J194" s="34"/>
      <c r="K194" s="27" t="str">
        <f aca="false">IF(H194="","",MAX(0,H194-IF(I194="",0,I194)))</f>
        <v/>
      </c>
      <c r="L194" s="25" t="str">
        <f aca="true">IF(H194="","",IF(I194&gt;=H194,"✅ Paid",IF(G194&lt;TODAY(),"🔴 Overdue",IF(G194&lt;=TODAY()+90,"🟡 Due Soon","⬜ Upcoming"))))</f>
        <v/>
      </c>
    </row>
    <row r="195" customFormat="false" ht="15" hidden="false" customHeight="false" outlineLevel="0" collapsed="false">
      <c r="A195" s="24" t="n">
        <v>193</v>
      </c>
      <c r="C195" s="26"/>
      <c r="D195" s="25" t="n">
        <f aca="false">IFERROR(INDEX('DATA ENTRY'!$S:$S,MATCH(C195,'DATA ENTRY'!$B:$B,0)),"")</f>
        <v>0</v>
      </c>
      <c r="E195" s="25" t="n">
        <f aca="false">IFERROR(INDEX('DATA ENTRY'!$C:$C,MATCH(C195,'DATA ENTRY'!$B:$B,0)),"")</f>
        <v>0</v>
      </c>
      <c r="F195" s="25" t="n">
        <f aca="false">IFERROR(INDEX('DATA ENTRY'!$E:$E,MATCH(C195,'DATA ENTRY'!$B:$B,0)),"")</f>
        <v>0</v>
      </c>
      <c r="G195" s="34"/>
      <c r="H195" s="35"/>
      <c r="I195" s="35"/>
      <c r="J195" s="34"/>
      <c r="K195" s="27" t="str">
        <f aca="false">IF(H195="","",MAX(0,H195-IF(I195="",0,I195)))</f>
        <v/>
      </c>
      <c r="L195" s="25" t="str">
        <f aca="true">IF(H195="","",IF(I195&gt;=H195,"✅ Paid",IF(G195&lt;TODAY(),"🔴 Overdue",IF(G195&lt;=TODAY()+90,"🟡 Due Soon","⬜ Upcoming"))))</f>
        <v/>
      </c>
    </row>
    <row r="196" customFormat="false" ht="15" hidden="false" customHeight="false" outlineLevel="0" collapsed="false">
      <c r="A196" s="24" t="n">
        <v>194</v>
      </c>
      <c r="C196" s="26"/>
      <c r="D196" s="25" t="n">
        <f aca="false">IFERROR(INDEX('DATA ENTRY'!$S:$S,MATCH(C196,'DATA ENTRY'!$B:$B,0)),"")</f>
        <v>0</v>
      </c>
      <c r="E196" s="25" t="n">
        <f aca="false">IFERROR(INDEX('DATA ENTRY'!$C:$C,MATCH(C196,'DATA ENTRY'!$B:$B,0)),"")</f>
        <v>0</v>
      </c>
      <c r="F196" s="25" t="n">
        <f aca="false">IFERROR(INDEX('DATA ENTRY'!$E:$E,MATCH(C196,'DATA ENTRY'!$B:$B,0)),"")</f>
        <v>0</v>
      </c>
      <c r="G196" s="34"/>
      <c r="H196" s="35"/>
      <c r="I196" s="35"/>
      <c r="J196" s="34"/>
      <c r="K196" s="27" t="str">
        <f aca="false">IF(H196="","",MAX(0,H196-IF(I196="",0,I196)))</f>
        <v/>
      </c>
      <c r="L196" s="25" t="str">
        <f aca="true">IF(H196="","",IF(I196&gt;=H196,"✅ Paid",IF(G196&lt;TODAY(),"🔴 Overdue",IF(G196&lt;=TODAY()+90,"🟡 Due Soon","⬜ Upcoming"))))</f>
        <v/>
      </c>
    </row>
    <row r="197" customFormat="false" ht="15" hidden="false" customHeight="false" outlineLevel="0" collapsed="false">
      <c r="A197" s="24" t="n">
        <v>195</v>
      </c>
      <c r="C197" s="26"/>
      <c r="D197" s="25" t="n">
        <f aca="false">IFERROR(INDEX('DATA ENTRY'!$S:$S,MATCH(C197,'DATA ENTRY'!$B:$B,0)),"")</f>
        <v>0</v>
      </c>
      <c r="E197" s="25" t="n">
        <f aca="false">IFERROR(INDEX('DATA ENTRY'!$C:$C,MATCH(C197,'DATA ENTRY'!$B:$B,0)),"")</f>
        <v>0</v>
      </c>
      <c r="F197" s="25" t="n">
        <f aca="false">IFERROR(INDEX('DATA ENTRY'!$E:$E,MATCH(C197,'DATA ENTRY'!$B:$B,0)),"")</f>
        <v>0</v>
      </c>
      <c r="G197" s="34"/>
      <c r="H197" s="35"/>
      <c r="I197" s="35"/>
      <c r="J197" s="34"/>
      <c r="K197" s="27" t="str">
        <f aca="false">IF(H197="","",MAX(0,H197-IF(I197="",0,I197)))</f>
        <v/>
      </c>
      <c r="L197" s="25" t="str">
        <f aca="true">IF(H197="","",IF(I197&gt;=H197,"✅ Paid",IF(G197&lt;TODAY(),"🔴 Overdue",IF(G197&lt;=TODAY()+90,"🟡 Due Soon","⬜ Upcoming"))))</f>
        <v/>
      </c>
    </row>
    <row r="198" customFormat="false" ht="15" hidden="false" customHeight="false" outlineLevel="0" collapsed="false">
      <c r="A198" s="24" t="n">
        <v>196</v>
      </c>
      <c r="C198" s="26"/>
      <c r="D198" s="25" t="n">
        <f aca="false">IFERROR(INDEX('DATA ENTRY'!$S:$S,MATCH(C198,'DATA ENTRY'!$B:$B,0)),"")</f>
        <v>0</v>
      </c>
      <c r="E198" s="25" t="n">
        <f aca="false">IFERROR(INDEX('DATA ENTRY'!$C:$C,MATCH(C198,'DATA ENTRY'!$B:$B,0)),"")</f>
        <v>0</v>
      </c>
      <c r="F198" s="25" t="n">
        <f aca="false">IFERROR(INDEX('DATA ENTRY'!$E:$E,MATCH(C198,'DATA ENTRY'!$B:$B,0)),"")</f>
        <v>0</v>
      </c>
      <c r="G198" s="34"/>
      <c r="H198" s="35"/>
      <c r="I198" s="35"/>
      <c r="J198" s="34"/>
      <c r="K198" s="27" t="str">
        <f aca="false">IF(H198="","",MAX(0,H198-IF(I198="",0,I198)))</f>
        <v/>
      </c>
      <c r="L198" s="25" t="str">
        <f aca="true">IF(H198="","",IF(I198&gt;=H198,"✅ Paid",IF(G198&lt;TODAY(),"🔴 Overdue",IF(G198&lt;=TODAY()+90,"🟡 Due Soon","⬜ Upcoming"))))</f>
        <v/>
      </c>
    </row>
    <row r="199" customFormat="false" ht="15" hidden="false" customHeight="false" outlineLevel="0" collapsed="false">
      <c r="A199" s="24" t="n">
        <v>197</v>
      </c>
      <c r="C199" s="26"/>
      <c r="D199" s="25" t="n">
        <f aca="false">IFERROR(INDEX('DATA ENTRY'!$S:$S,MATCH(C199,'DATA ENTRY'!$B:$B,0)),"")</f>
        <v>0</v>
      </c>
      <c r="E199" s="25" t="n">
        <f aca="false">IFERROR(INDEX('DATA ENTRY'!$C:$C,MATCH(C199,'DATA ENTRY'!$B:$B,0)),"")</f>
        <v>0</v>
      </c>
      <c r="F199" s="25" t="n">
        <f aca="false">IFERROR(INDEX('DATA ENTRY'!$E:$E,MATCH(C199,'DATA ENTRY'!$B:$B,0)),"")</f>
        <v>0</v>
      </c>
      <c r="G199" s="34"/>
      <c r="H199" s="35"/>
      <c r="I199" s="35"/>
      <c r="J199" s="34"/>
      <c r="K199" s="27" t="str">
        <f aca="false">IF(H199="","",MAX(0,H199-IF(I199="",0,I199)))</f>
        <v/>
      </c>
      <c r="L199" s="25" t="str">
        <f aca="true">IF(H199="","",IF(I199&gt;=H199,"✅ Paid",IF(G199&lt;TODAY(),"🔴 Overdue",IF(G199&lt;=TODAY()+90,"🟡 Due Soon","⬜ Upcoming"))))</f>
        <v/>
      </c>
    </row>
    <row r="200" customFormat="false" ht="15" hidden="false" customHeight="false" outlineLevel="0" collapsed="false">
      <c r="A200" s="24" t="n">
        <v>198</v>
      </c>
      <c r="C200" s="26"/>
      <c r="D200" s="25" t="n">
        <f aca="false">IFERROR(INDEX('DATA ENTRY'!$S:$S,MATCH(C200,'DATA ENTRY'!$B:$B,0)),"")</f>
        <v>0</v>
      </c>
      <c r="E200" s="25" t="n">
        <f aca="false">IFERROR(INDEX('DATA ENTRY'!$C:$C,MATCH(C200,'DATA ENTRY'!$B:$B,0)),"")</f>
        <v>0</v>
      </c>
      <c r="F200" s="25" t="n">
        <f aca="false">IFERROR(INDEX('DATA ENTRY'!$E:$E,MATCH(C200,'DATA ENTRY'!$B:$B,0)),"")</f>
        <v>0</v>
      </c>
      <c r="G200" s="34"/>
      <c r="H200" s="35"/>
      <c r="I200" s="35"/>
      <c r="J200" s="34"/>
      <c r="K200" s="27" t="str">
        <f aca="false">IF(H200="","",MAX(0,H200-IF(I200="",0,I200)))</f>
        <v/>
      </c>
      <c r="L200" s="25" t="str">
        <f aca="true">IF(H200="","",IF(I200&gt;=H200,"✅ Paid",IF(G200&lt;TODAY(),"🔴 Overdue",IF(G200&lt;=TODAY()+90,"🟡 Due Soon","⬜ Upcoming"))))</f>
        <v/>
      </c>
    </row>
    <row r="201" customFormat="false" ht="15" hidden="false" customHeight="false" outlineLevel="0" collapsed="false">
      <c r="A201" s="24" t="n">
        <v>199</v>
      </c>
      <c r="C201" s="26"/>
      <c r="D201" s="25" t="n">
        <f aca="false">IFERROR(INDEX('DATA ENTRY'!$S:$S,MATCH(C201,'DATA ENTRY'!$B:$B,0)),"")</f>
        <v>0</v>
      </c>
      <c r="E201" s="25" t="n">
        <f aca="false">IFERROR(INDEX('DATA ENTRY'!$C:$C,MATCH(C201,'DATA ENTRY'!$B:$B,0)),"")</f>
        <v>0</v>
      </c>
      <c r="F201" s="25" t="n">
        <f aca="false">IFERROR(INDEX('DATA ENTRY'!$E:$E,MATCH(C201,'DATA ENTRY'!$B:$B,0)),"")</f>
        <v>0</v>
      </c>
      <c r="G201" s="34"/>
      <c r="H201" s="35"/>
      <c r="I201" s="35"/>
      <c r="J201" s="34"/>
      <c r="K201" s="27" t="str">
        <f aca="false">IF(H201="","",MAX(0,H201-IF(I201="",0,I201)))</f>
        <v/>
      </c>
      <c r="L201" s="25" t="str">
        <f aca="true">IF(H201="","",IF(I201&gt;=H201,"✅ Paid",IF(G201&lt;TODAY(),"🔴 Overdue",IF(G201&lt;=TODAY()+90,"🟡 Due Soon","⬜ Upcoming"))))</f>
        <v/>
      </c>
    </row>
    <row r="202" customFormat="false" ht="15" hidden="false" customHeight="false" outlineLevel="0" collapsed="false">
      <c r="A202" s="24" t="n">
        <v>200</v>
      </c>
      <c r="C202" s="26"/>
      <c r="D202" s="25" t="n">
        <f aca="false">IFERROR(INDEX('DATA ENTRY'!$S:$S,MATCH(C202,'DATA ENTRY'!$B:$B,0)),"")</f>
        <v>0</v>
      </c>
      <c r="E202" s="25" t="n">
        <f aca="false">IFERROR(INDEX('DATA ENTRY'!$C:$C,MATCH(C202,'DATA ENTRY'!$B:$B,0)),"")</f>
        <v>0</v>
      </c>
      <c r="F202" s="25" t="n">
        <f aca="false">IFERROR(INDEX('DATA ENTRY'!$E:$E,MATCH(C202,'DATA ENTRY'!$B:$B,0)),"")</f>
        <v>0</v>
      </c>
      <c r="G202" s="34"/>
      <c r="H202" s="35"/>
      <c r="I202" s="35"/>
      <c r="J202" s="34"/>
      <c r="K202" s="27" t="str">
        <f aca="false">IF(H202="","",MAX(0,H202-IF(I202="",0,I202)))</f>
        <v/>
      </c>
      <c r="L202" s="25" t="str">
        <f aca="true">IF(H202="","",IF(I202&gt;=H202,"✅ Paid",IF(G202&lt;TODAY(),"🔴 Overdue",IF(G202&lt;=TODAY()+90,"🟡 Due Soon","⬜ Upcoming"))))</f>
        <v/>
      </c>
    </row>
    <row r="203" customFormat="false" ht="15" hidden="false" customHeight="false" outlineLevel="0" collapsed="false">
      <c r="A203" s="24" t="n">
        <v>201</v>
      </c>
      <c r="C203" s="26"/>
      <c r="D203" s="25" t="n">
        <f aca="false">IFERROR(INDEX('DATA ENTRY'!$S:$S,MATCH(C203,'DATA ENTRY'!$B:$B,0)),"")</f>
        <v>0</v>
      </c>
      <c r="E203" s="25" t="n">
        <f aca="false">IFERROR(INDEX('DATA ENTRY'!$C:$C,MATCH(C203,'DATA ENTRY'!$B:$B,0)),"")</f>
        <v>0</v>
      </c>
      <c r="F203" s="25" t="n">
        <f aca="false">IFERROR(INDEX('DATA ENTRY'!$E:$E,MATCH(C203,'DATA ENTRY'!$B:$B,0)),"")</f>
        <v>0</v>
      </c>
      <c r="G203" s="34"/>
      <c r="H203" s="35"/>
      <c r="I203" s="35"/>
      <c r="J203" s="34"/>
      <c r="K203" s="27" t="str">
        <f aca="false">IF(H203="","",MAX(0,H203-IF(I203="",0,I203)))</f>
        <v/>
      </c>
      <c r="L203" s="25" t="str">
        <f aca="true">IF(H203="","",IF(I203&gt;=H203,"✅ Paid",IF(G203&lt;TODAY(),"🔴 Overdue",IF(G203&lt;=TODAY()+90,"🟡 Due Soon","⬜ Upcoming"))))</f>
        <v/>
      </c>
    </row>
    <row r="204" customFormat="false" ht="15" hidden="false" customHeight="false" outlineLevel="0" collapsed="false">
      <c r="A204" s="24" t="n">
        <v>202</v>
      </c>
      <c r="C204" s="26"/>
      <c r="D204" s="25" t="n">
        <f aca="false">IFERROR(INDEX('DATA ENTRY'!$S:$S,MATCH(C204,'DATA ENTRY'!$B:$B,0)),"")</f>
        <v>0</v>
      </c>
      <c r="E204" s="25" t="n">
        <f aca="false">IFERROR(INDEX('DATA ENTRY'!$C:$C,MATCH(C204,'DATA ENTRY'!$B:$B,0)),"")</f>
        <v>0</v>
      </c>
      <c r="F204" s="25" t="n">
        <f aca="false">IFERROR(INDEX('DATA ENTRY'!$E:$E,MATCH(C204,'DATA ENTRY'!$B:$B,0)),"")</f>
        <v>0</v>
      </c>
      <c r="G204" s="34"/>
      <c r="H204" s="35"/>
      <c r="I204" s="35"/>
      <c r="J204" s="34"/>
      <c r="K204" s="27" t="str">
        <f aca="false">IF(H204="","",MAX(0,H204-IF(I204="",0,I204)))</f>
        <v/>
      </c>
      <c r="L204" s="25" t="str">
        <f aca="true">IF(H204="","",IF(I204&gt;=H204,"✅ Paid",IF(G204&lt;TODAY(),"🔴 Overdue",IF(G204&lt;=TODAY()+90,"🟡 Due Soon","⬜ Upcoming"))))</f>
        <v/>
      </c>
    </row>
    <row r="205" customFormat="false" ht="15" hidden="false" customHeight="false" outlineLevel="0" collapsed="false">
      <c r="A205" s="24" t="n">
        <v>203</v>
      </c>
      <c r="C205" s="26"/>
      <c r="D205" s="25" t="n">
        <f aca="false">IFERROR(INDEX('DATA ENTRY'!$S:$S,MATCH(C205,'DATA ENTRY'!$B:$B,0)),"")</f>
        <v>0</v>
      </c>
      <c r="E205" s="25" t="n">
        <f aca="false">IFERROR(INDEX('DATA ENTRY'!$C:$C,MATCH(C205,'DATA ENTRY'!$B:$B,0)),"")</f>
        <v>0</v>
      </c>
      <c r="F205" s="25" t="n">
        <f aca="false">IFERROR(INDEX('DATA ENTRY'!$E:$E,MATCH(C205,'DATA ENTRY'!$B:$B,0)),"")</f>
        <v>0</v>
      </c>
      <c r="G205" s="34"/>
      <c r="H205" s="35"/>
      <c r="I205" s="35"/>
      <c r="J205" s="34"/>
      <c r="K205" s="27" t="str">
        <f aca="false">IF(H205="","",MAX(0,H205-IF(I205="",0,I205)))</f>
        <v/>
      </c>
      <c r="L205" s="25" t="str">
        <f aca="true">IF(H205="","",IF(I205&gt;=H205,"✅ Paid",IF(G205&lt;TODAY(),"🔴 Overdue",IF(G205&lt;=TODAY()+90,"🟡 Due Soon","⬜ Upcoming"))))</f>
        <v/>
      </c>
    </row>
    <row r="206" customFormat="false" ht="15" hidden="false" customHeight="false" outlineLevel="0" collapsed="false">
      <c r="A206" s="24" t="n">
        <v>204</v>
      </c>
      <c r="C206" s="26"/>
      <c r="D206" s="25" t="n">
        <f aca="false">IFERROR(INDEX('DATA ENTRY'!$S:$S,MATCH(C206,'DATA ENTRY'!$B:$B,0)),"")</f>
        <v>0</v>
      </c>
      <c r="E206" s="25" t="n">
        <f aca="false">IFERROR(INDEX('DATA ENTRY'!$C:$C,MATCH(C206,'DATA ENTRY'!$B:$B,0)),"")</f>
        <v>0</v>
      </c>
      <c r="F206" s="25" t="n">
        <f aca="false">IFERROR(INDEX('DATA ENTRY'!$E:$E,MATCH(C206,'DATA ENTRY'!$B:$B,0)),"")</f>
        <v>0</v>
      </c>
      <c r="G206" s="34"/>
      <c r="H206" s="35"/>
      <c r="I206" s="35"/>
      <c r="J206" s="34"/>
      <c r="K206" s="27" t="str">
        <f aca="false">IF(H206="","",MAX(0,H206-IF(I206="",0,I206)))</f>
        <v/>
      </c>
      <c r="L206" s="25" t="str">
        <f aca="true">IF(H206="","",IF(I206&gt;=H206,"✅ Paid",IF(G206&lt;TODAY(),"🔴 Overdue",IF(G206&lt;=TODAY()+90,"🟡 Due Soon","⬜ Upcoming"))))</f>
        <v/>
      </c>
    </row>
    <row r="207" customFormat="false" ht="15" hidden="false" customHeight="false" outlineLevel="0" collapsed="false">
      <c r="A207" s="24" t="n">
        <v>205</v>
      </c>
      <c r="C207" s="26"/>
      <c r="D207" s="25" t="n">
        <f aca="false">IFERROR(INDEX('DATA ENTRY'!$S:$S,MATCH(C207,'DATA ENTRY'!$B:$B,0)),"")</f>
        <v>0</v>
      </c>
      <c r="E207" s="25" t="n">
        <f aca="false">IFERROR(INDEX('DATA ENTRY'!$C:$C,MATCH(C207,'DATA ENTRY'!$B:$B,0)),"")</f>
        <v>0</v>
      </c>
      <c r="F207" s="25" t="n">
        <f aca="false">IFERROR(INDEX('DATA ENTRY'!$E:$E,MATCH(C207,'DATA ENTRY'!$B:$B,0)),"")</f>
        <v>0</v>
      </c>
      <c r="G207" s="34"/>
      <c r="H207" s="35"/>
      <c r="I207" s="35"/>
      <c r="J207" s="34"/>
      <c r="K207" s="27" t="str">
        <f aca="false">IF(H207="","",MAX(0,H207-IF(I207="",0,I207)))</f>
        <v/>
      </c>
      <c r="L207" s="25" t="str">
        <f aca="true">IF(H207="","",IF(I207&gt;=H207,"✅ Paid",IF(G207&lt;TODAY(),"🔴 Overdue",IF(G207&lt;=TODAY()+90,"🟡 Due Soon","⬜ Upcoming"))))</f>
        <v/>
      </c>
    </row>
    <row r="208" customFormat="false" ht="15" hidden="false" customHeight="false" outlineLevel="0" collapsed="false">
      <c r="A208" s="24" t="n">
        <v>206</v>
      </c>
      <c r="C208" s="26"/>
      <c r="D208" s="25" t="n">
        <f aca="false">IFERROR(INDEX('DATA ENTRY'!$S:$S,MATCH(C208,'DATA ENTRY'!$B:$B,0)),"")</f>
        <v>0</v>
      </c>
      <c r="E208" s="25" t="n">
        <f aca="false">IFERROR(INDEX('DATA ENTRY'!$C:$C,MATCH(C208,'DATA ENTRY'!$B:$B,0)),"")</f>
        <v>0</v>
      </c>
      <c r="F208" s="25" t="n">
        <f aca="false">IFERROR(INDEX('DATA ENTRY'!$E:$E,MATCH(C208,'DATA ENTRY'!$B:$B,0)),"")</f>
        <v>0</v>
      </c>
      <c r="G208" s="34"/>
      <c r="H208" s="35"/>
      <c r="I208" s="35"/>
      <c r="J208" s="34"/>
      <c r="K208" s="27" t="str">
        <f aca="false">IF(H208="","",MAX(0,H208-IF(I208="",0,I208)))</f>
        <v/>
      </c>
      <c r="L208" s="25" t="str">
        <f aca="true">IF(H208="","",IF(I208&gt;=H208,"✅ Paid",IF(G208&lt;TODAY(),"🔴 Overdue",IF(G208&lt;=TODAY()+90,"🟡 Due Soon","⬜ Upcoming"))))</f>
        <v/>
      </c>
    </row>
    <row r="209" customFormat="false" ht="15" hidden="false" customHeight="false" outlineLevel="0" collapsed="false">
      <c r="A209" s="24" t="n">
        <v>207</v>
      </c>
      <c r="C209" s="26"/>
      <c r="D209" s="25" t="n">
        <f aca="false">IFERROR(INDEX('DATA ENTRY'!$S:$S,MATCH(C209,'DATA ENTRY'!$B:$B,0)),"")</f>
        <v>0</v>
      </c>
      <c r="E209" s="25" t="n">
        <f aca="false">IFERROR(INDEX('DATA ENTRY'!$C:$C,MATCH(C209,'DATA ENTRY'!$B:$B,0)),"")</f>
        <v>0</v>
      </c>
      <c r="F209" s="25" t="n">
        <f aca="false">IFERROR(INDEX('DATA ENTRY'!$E:$E,MATCH(C209,'DATA ENTRY'!$B:$B,0)),"")</f>
        <v>0</v>
      </c>
      <c r="G209" s="34"/>
      <c r="H209" s="35"/>
      <c r="I209" s="35"/>
      <c r="J209" s="34"/>
      <c r="K209" s="27" t="str">
        <f aca="false">IF(H209="","",MAX(0,H209-IF(I209="",0,I209)))</f>
        <v/>
      </c>
      <c r="L209" s="25" t="str">
        <f aca="true">IF(H209="","",IF(I209&gt;=H209,"✅ Paid",IF(G209&lt;TODAY(),"🔴 Overdue",IF(G209&lt;=TODAY()+90,"🟡 Due Soon","⬜ Upcoming"))))</f>
        <v/>
      </c>
    </row>
    <row r="210" customFormat="false" ht="15" hidden="false" customHeight="false" outlineLevel="0" collapsed="false">
      <c r="A210" s="24" t="n">
        <v>208</v>
      </c>
      <c r="C210" s="26"/>
      <c r="D210" s="25" t="n">
        <f aca="false">IFERROR(INDEX('DATA ENTRY'!$S:$S,MATCH(C210,'DATA ENTRY'!$B:$B,0)),"")</f>
        <v>0</v>
      </c>
      <c r="E210" s="25" t="n">
        <f aca="false">IFERROR(INDEX('DATA ENTRY'!$C:$C,MATCH(C210,'DATA ENTRY'!$B:$B,0)),"")</f>
        <v>0</v>
      </c>
      <c r="F210" s="25" t="n">
        <f aca="false">IFERROR(INDEX('DATA ENTRY'!$E:$E,MATCH(C210,'DATA ENTRY'!$B:$B,0)),"")</f>
        <v>0</v>
      </c>
      <c r="G210" s="34"/>
      <c r="H210" s="35"/>
      <c r="I210" s="35"/>
      <c r="J210" s="34"/>
      <c r="K210" s="27" t="str">
        <f aca="false">IF(H210="","",MAX(0,H210-IF(I210="",0,I210)))</f>
        <v/>
      </c>
      <c r="L210" s="25" t="str">
        <f aca="true">IF(H210="","",IF(I210&gt;=H210,"✅ Paid",IF(G210&lt;TODAY(),"🔴 Overdue",IF(G210&lt;=TODAY()+90,"🟡 Due Soon","⬜ Upcoming"))))</f>
        <v/>
      </c>
    </row>
    <row r="211" customFormat="false" ht="15" hidden="false" customHeight="false" outlineLevel="0" collapsed="false">
      <c r="A211" s="24" t="n">
        <v>209</v>
      </c>
      <c r="C211" s="26"/>
      <c r="D211" s="25" t="n">
        <f aca="false">IFERROR(INDEX('DATA ENTRY'!$S:$S,MATCH(C211,'DATA ENTRY'!$B:$B,0)),"")</f>
        <v>0</v>
      </c>
      <c r="E211" s="25" t="n">
        <f aca="false">IFERROR(INDEX('DATA ENTRY'!$C:$C,MATCH(C211,'DATA ENTRY'!$B:$B,0)),"")</f>
        <v>0</v>
      </c>
      <c r="F211" s="25" t="n">
        <f aca="false">IFERROR(INDEX('DATA ENTRY'!$E:$E,MATCH(C211,'DATA ENTRY'!$B:$B,0)),"")</f>
        <v>0</v>
      </c>
      <c r="G211" s="34"/>
      <c r="H211" s="35"/>
      <c r="I211" s="35"/>
      <c r="J211" s="34"/>
      <c r="K211" s="27" t="str">
        <f aca="false">IF(H211="","",MAX(0,H211-IF(I211="",0,I211)))</f>
        <v/>
      </c>
      <c r="L211" s="25" t="str">
        <f aca="true">IF(H211="","",IF(I211&gt;=H211,"✅ Paid",IF(G211&lt;TODAY(),"🔴 Overdue",IF(G211&lt;=TODAY()+90,"🟡 Due Soon","⬜ Upcoming"))))</f>
        <v/>
      </c>
    </row>
    <row r="212" customFormat="false" ht="15" hidden="false" customHeight="false" outlineLevel="0" collapsed="false">
      <c r="A212" s="24" t="n">
        <v>210</v>
      </c>
      <c r="C212" s="26"/>
      <c r="D212" s="25" t="n">
        <f aca="false">IFERROR(INDEX('DATA ENTRY'!$S:$S,MATCH(C212,'DATA ENTRY'!$B:$B,0)),"")</f>
        <v>0</v>
      </c>
      <c r="E212" s="25" t="n">
        <f aca="false">IFERROR(INDEX('DATA ENTRY'!$C:$C,MATCH(C212,'DATA ENTRY'!$B:$B,0)),"")</f>
        <v>0</v>
      </c>
      <c r="F212" s="25" t="n">
        <f aca="false">IFERROR(INDEX('DATA ENTRY'!$E:$E,MATCH(C212,'DATA ENTRY'!$B:$B,0)),"")</f>
        <v>0</v>
      </c>
      <c r="G212" s="34"/>
      <c r="H212" s="35"/>
      <c r="I212" s="35"/>
      <c r="J212" s="34"/>
      <c r="K212" s="27" t="str">
        <f aca="false">IF(H212="","",MAX(0,H212-IF(I212="",0,I212)))</f>
        <v/>
      </c>
      <c r="L212" s="25" t="str">
        <f aca="true">IF(H212="","",IF(I212&gt;=H212,"✅ Paid",IF(G212&lt;TODAY(),"🔴 Overdue",IF(G212&lt;=TODAY()+90,"🟡 Due Soon","⬜ Upcoming"))))</f>
        <v/>
      </c>
    </row>
    <row r="213" customFormat="false" ht="15" hidden="false" customHeight="false" outlineLevel="0" collapsed="false">
      <c r="A213" s="24" t="n">
        <v>211</v>
      </c>
      <c r="C213" s="26"/>
      <c r="D213" s="25" t="n">
        <f aca="false">IFERROR(INDEX('DATA ENTRY'!$S:$S,MATCH(C213,'DATA ENTRY'!$B:$B,0)),"")</f>
        <v>0</v>
      </c>
      <c r="E213" s="25" t="n">
        <f aca="false">IFERROR(INDEX('DATA ENTRY'!$C:$C,MATCH(C213,'DATA ENTRY'!$B:$B,0)),"")</f>
        <v>0</v>
      </c>
      <c r="F213" s="25" t="n">
        <f aca="false">IFERROR(INDEX('DATA ENTRY'!$E:$E,MATCH(C213,'DATA ENTRY'!$B:$B,0)),"")</f>
        <v>0</v>
      </c>
      <c r="G213" s="34"/>
      <c r="H213" s="35"/>
      <c r="I213" s="35"/>
      <c r="J213" s="34"/>
      <c r="K213" s="27" t="str">
        <f aca="false">IF(H213="","",MAX(0,H213-IF(I213="",0,I213)))</f>
        <v/>
      </c>
      <c r="L213" s="25" t="str">
        <f aca="true">IF(H213="","",IF(I213&gt;=H213,"✅ Paid",IF(G213&lt;TODAY(),"🔴 Overdue",IF(G213&lt;=TODAY()+90,"🟡 Due Soon","⬜ Upcoming"))))</f>
        <v/>
      </c>
    </row>
    <row r="214" customFormat="false" ht="15" hidden="false" customHeight="false" outlineLevel="0" collapsed="false">
      <c r="A214" s="24" t="n">
        <v>212</v>
      </c>
      <c r="C214" s="26"/>
      <c r="D214" s="25" t="n">
        <f aca="false">IFERROR(INDEX('DATA ENTRY'!$S:$S,MATCH(C214,'DATA ENTRY'!$B:$B,0)),"")</f>
        <v>0</v>
      </c>
      <c r="E214" s="25" t="n">
        <f aca="false">IFERROR(INDEX('DATA ENTRY'!$C:$C,MATCH(C214,'DATA ENTRY'!$B:$B,0)),"")</f>
        <v>0</v>
      </c>
      <c r="F214" s="25" t="n">
        <f aca="false">IFERROR(INDEX('DATA ENTRY'!$E:$E,MATCH(C214,'DATA ENTRY'!$B:$B,0)),"")</f>
        <v>0</v>
      </c>
      <c r="G214" s="34"/>
      <c r="H214" s="35"/>
      <c r="I214" s="35"/>
      <c r="J214" s="34"/>
      <c r="K214" s="27" t="str">
        <f aca="false">IF(H214="","",MAX(0,H214-IF(I214="",0,I214)))</f>
        <v/>
      </c>
      <c r="L214" s="25" t="str">
        <f aca="true">IF(H214="","",IF(I214&gt;=H214,"✅ Paid",IF(G214&lt;TODAY(),"🔴 Overdue",IF(G214&lt;=TODAY()+90,"🟡 Due Soon","⬜ Upcoming"))))</f>
        <v/>
      </c>
    </row>
    <row r="215" customFormat="false" ht="15" hidden="false" customHeight="false" outlineLevel="0" collapsed="false">
      <c r="A215" s="24" t="n">
        <v>213</v>
      </c>
      <c r="C215" s="26"/>
      <c r="D215" s="25" t="n">
        <f aca="false">IFERROR(INDEX('DATA ENTRY'!$S:$S,MATCH(C215,'DATA ENTRY'!$B:$B,0)),"")</f>
        <v>0</v>
      </c>
      <c r="E215" s="25" t="n">
        <f aca="false">IFERROR(INDEX('DATA ENTRY'!$C:$C,MATCH(C215,'DATA ENTRY'!$B:$B,0)),"")</f>
        <v>0</v>
      </c>
      <c r="F215" s="25" t="n">
        <f aca="false">IFERROR(INDEX('DATA ENTRY'!$E:$E,MATCH(C215,'DATA ENTRY'!$B:$B,0)),"")</f>
        <v>0</v>
      </c>
      <c r="G215" s="34"/>
      <c r="H215" s="35"/>
      <c r="I215" s="35"/>
      <c r="J215" s="34"/>
      <c r="K215" s="27" t="str">
        <f aca="false">IF(H215="","",MAX(0,H215-IF(I215="",0,I215)))</f>
        <v/>
      </c>
      <c r="L215" s="25" t="str">
        <f aca="true">IF(H215="","",IF(I215&gt;=H215,"✅ Paid",IF(G215&lt;TODAY(),"🔴 Overdue",IF(G215&lt;=TODAY()+90,"🟡 Due Soon","⬜ Upcoming"))))</f>
        <v/>
      </c>
    </row>
    <row r="216" customFormat="false" ht="15" hidden="false" customHeight="false" outlineLevel="0" collapsed="false">
      <c r="A216" s="24" t="n">
        <v>214</v>
      </c>
      <c r="C216" s="26"/>
      <c r="D216" s="25" t="n">
        <f aca="false">IFERROR(INDEX('DATA ENTRY'!$S:$S,MATCH(C216,'DATA ENTRY'!$B:$B,0)),"")</f>
        <v>0</v>
      </c>
      <c r="E216" s="25" t="n">
        <f aca="false">IFERROR(INDEX('DATA ENTRY'!$C:$C,MATCH(C216,'DATA ENTRY'!$B:$B,0)),"")</f>
        <v>0</v>
      </c>
      <c r="F216" s="25" t="n">
        <f aca="false">IFERROR(INDEX('DATA ENTRY'!$E:$E,MATCH(C216,'DATA ENTRY'!$B:$B,0)),"")</f>
        <v>0</v>
      </c>
      <c r="G216" s="34"/>
      <c r="H216" s="35"/>
      <c r="I216" s="35"/>
      <c r="J216" s="34"/>
      <c r="K216" s="27" t="str">
        <f aca="false">IF(H216="","",MAX(0,H216-IF(I216="",0,I216)))</f>
        <v/>
      </c>
      <c r="L216" s="25" t="str">
        <f aca="true">IF(H216="","",IF(I216&gt;=H216,"✅ Paid",IF(G216&lt;TODAY(),"🔴 Overdue",IF(G216&lt;=TODAY()+90,"🟡 Due Soon","⬜ Upcoming"))))</f>
        <v/>
      </c>
    </row>
    <row r="217" customFormat="false" ht="15" hidden="false" customHeight="false" outlineLevel="0" collapsed="false">
      <c r="A217" s="24" t="n">
        <v>215</v>
      </c>
      <c r="C217" s="26"/>
      <c r="D217" s="25" t="n">
        <f aca="false">IFERROR(INDEX('DATA ENTRY'!$S:$S,MATCH(C217,'DATA ENTRY'!$B:$B,0)),"")</f>
        <v>0</v>
      </c>
      <c r="E217" s="25" t="n">
        <f aca="false">IFERROR(INDEX('DATA ENTRY'!$C:$C,MATCH(C217,'DATA ENTRY'!$B:$B,0)),"")</f>
        <v>0</v>
      </c>
      <c r="F217" s="25" t="n">
        <f aca="false">IFERROR(INDEX('DATA ENTRY'!$E:$E,MATCH(C217,'DATA ENTRY'!$B:$B,0)),"")</f>
        <v>0</v>
      </c>
      <c r="G217" s="34"/>
      <c r="H217" s="35"/>
      <c r="I217" s="35"/>
      <c r="J217" s="34"/>
      <c r="K217" s="27" t="str">
        <f aca="false">IF(H217="","",MAX(0,H217-IF(I217="",0,I217)))</f>
        <v/>
      </c>
      <c r="L217" s="25" t="str">
        <f aca="true">IF(H217="","",IF(I217&gt;=H217,"✅ Paid",IF(G217&lt;TODAY(),"🔴 Overdue",IF(G217&lt;=TODAY()+90,"🟡 Due Soon","⬜ Upcoming"))))</f>
        <v/>
      </c>
    </row>
    <row r="218" customFormat="false" ht="15" hidden="false" customHeight="false" outlineLevel="0" collapsed="false">
      <c r="A218" s="24" t="n">
        <v>216</v>
      </c>
      <c r="C218" s="26"/>
      <c r="D218" s="25" t="n">
        <f aca="false">IFERROR(INDEX('DATA ENTRY'!$S:$S,MATCH(C218,'DATA ENTRY'!$B:$B,0)),"")</f>
        <v>0</v>
      </c>
      <c r="E218" s="25" t="n">
        <f aca="false">IFERROR(INDEX('DATA ENTRY'!$C:$C,MATCH(C218,'DATA ENTRY'!$B:$B,0)),"")</f>
        <v>0</v>
      </c>
      <c r="F218" s="25" t="n">
        <f aca="false">IFERROR(INDEX('DATA ENTRY'!$E:$E,MATCH(C218,'DATA ENTRY'!$B:$B,0)),"")</f>
        <v>0</v>
      </c>
      <c r="G218" s="34"/>
      <c r="H218" s="35"/>
      <c r="I218" s="35"/>
      <c r="J218" s="34"/>
      <c r="K218" s="27" t="str">
        <f aca="false">IF(H218="","",MAX(0,H218-IF(I218="",0,I218)))</f>
        <v/>
      </c>
      <c r="L218" s="25" t="str">
        <f aca="true">IF(H218="","",IF(I218&gt;=H218,"✅ Paid",IF(G218&lt;TODAY(),"🔴 Overdue",IF(G218&lt;=TODAY()+90,"🟡 Due Soon","⬜ Upcoming"))))</f>
        <v/>
      </c>
    </row>
    <row r="219" customFormat="false" ht="15" hidden="false" customHeight="false" outlineLevel="0" collapsed="false">
      <c r="A219" s="24" t="n">
        <v>217</v>
      </c>
      <c r="C219" s="26"/>
      <c r="D219" s="25" t="n">
        <f aca="false">IFERROR(INDEX('DATA ENTRY'!$S:$S,MATCH(C219,'DATA ENTRY'!$B:$B,0)),"")</f>
        <v>0</v>
      </c>
      <c r="E219" s="25" t="n">
        <f aca="false">IFERROR(INDEX('DATA ENTRY'!$C:$C,MATCH(C219,'DATA ENTRY'!$B:$B,0)),"")</f>
        <v>0</v>
      </c>
      <c r="F219" s="25" t="n">
        <f aca="false">IFERROR(INDEX('DATA ENTRY'!$E:$E,MATCH(C219,'DATA ENTRY'!$B:$B,0)),"")</f>
        <v>0</v>
      </c>
      <c r="G219" s="34"/>
      <c r="H219" s="35"/>
      <c r="I219" s="35"/>
      <c r="J219" s="34"/>
      <c r="K219" s="27" t="str">
        <f aca="false">IF(H219="","",MAX(0,H219-IF(I219="",0,I219)))</f>
        <v/>
      </c>
      <c r="L219" s="25" t="str">
        <f aca="true">IF(H219="","",IF(I219&gt;=H219,"✅ Paid",IF(G219&lt;TODAY(),"🔴 Overdue",IF(G219&lt;=TODAY()+90,"🟡 Due Soon","⬜ Upcoming"))))</f>
        <v/>
      </c>
    </row>
    <row r="220" customFormat="false" ht="15" hidden="false" customHeight="false" outlineLevel="0" collapsed="false">
      <c r="A220" s="24" t="n">
        <v>218</v>
      </c>
      <c r="C220" s="26"/>
      <c r="D220" s="25" t="n">
        <f aca="false">IFERROR(INDEX('DATA ENTRY'!$S:$S,MATCH(C220,'DATA ENTRY'!$B:$B,0)),"")</f>
        <v>0</v>
      </c>
      <c r="E220" s="25" t="n">
        <f aca="false">IFERROR(INDEX('DATA ENTRY'!$C:$C,MATCH(C220,'DATA ENTRY'!$B:$B,0)),"")</f>
        <v>0</v>
      </c>
      <c r="F220" s="25" t="n">
        <f aca="false">IFERROR(INDEX('DATA ENTRY'!$E:$E,MATCH(C220,'DATA ENTRY'!$B:$B,0)),"")</f>
        <v>0</v>
      </c>
      <c r="G220" s="34"/>
      <c r="H220" s="35"/>
      <c r="I220" s="35"/>
      <c r="J220" s="34"/>
      <c r="K220" s="27" t="str">
        <f aca="false">IF(H220="","",MAX(0,H220-IF(I220="",0,I220)))</f>
        <v/>
      </c>
      <c r="L220" s="25" t="str">
        <f aca="true">IF(H220="","",IF(I220&gt;=H220,"✅ Paid",IF(G220&lt;TODAY(),"🔴 Overdue",IF(G220&lt;=TODAY()+90,"🟡 Due Soon","⬜ Upcoming"))))</f>
        <v/>
      </c>
    </row>
    <row r="221" customFormat="false" ht="15" hidden="false" customHeight="false" outlineLevel="0" collapsed="false">
      <c r="A221" s="24" t="n">
        <v>219</v>
      </c>
      <c r="C221" s="26"/>
      <c r="D221" s="25" t="n">
        <f aca="false">IFERROR(INDEX('DATA ENTRY'!$S:$S,MATCH(C221,'DATA ENTRY'!$B:$B,0)),"")</f>
        <v>0</v>
      </c>
      <c r="E221" s="25" t="n">
        <f aca="false">IFERROR(INDEX('DATA ENTRY'!$C:$C,MATCH(C221,'DATA ENTRY'!$B:$B,0)),"")</f>
        <v>0</v>
      </c>
      <c r="F221" s="25" t="n">
        <f aca="false">IFERROR(INDEX('DATA ENTRY'!$E:$E,MATCH(C221,'DATA ENTRY'!$B:$B,0)),"")</f>
        <v>0</v>
      </c>
      <c r="G221" s="34"/>
      <c r="H221" s="35"/>
      <c r="I221" s="35"/>
      <c r="J221" s="34"/>
      <c r="K221" s="27" t="str">
        <f aca="false">IF(H221="","",MAX(0,H221-IF(I221="",0,I221)))</f>
        <v/>
      </c>
      <c r="L221" s="25" t="str">
        <f aca="true">IF(H221="","",IF(I221&gt;=H221,"✅ Paid",IF(G221&lt;TODAY(),"🔴 Overdue",IF(G221&lt;=TODAY()+90,"🟡 Due Soon","⬜ Upcoming"))))</f>
        <v/>
      </c>
    </row>
    <row r="222" customFormat="false" ht="15" hidden="false" customHeight="false" outlineLevel="0" collapsed="false">
      <c r="A222" s="24" t="n">
        <v>220</v>
      </c>
      <c r="C222" s="26"/>
      <c r="D222" s="25" t="n">
        <f aca="false">IFERROR(INDEX('DATA ENTRY'!$S:$S,MATCH(C222,'DATA ENTRY'!$B:$B,0)),"")</f>
        <v>0</v>
      </c>
      <c r="E222" s="25" t="n">
        <f aca="false">IFERROR(INDEX('DATA ENTRY'!$C:$C,MATCH(C222,'DATA ENTRY'!$B:$B,0)),"")</f>
        <v>0</v>
      </c>
      <c r="F222" s="25" t="n">
        <f aca="false">IFERROR(INDEX('DATA ENTRY'!$E:$E,MATCH(C222,'DATA ENTRY'!$B:$B,0)),"")</f>
        <v>0</v>
      </c>
      <c r="G222" s="34"/>
      <c r="H222" s="35"/>
      <c r="I222" s="35"/>
      <c r="J222" s="34"/>
      <c r="K222" s="27" t="str">
        <f aca="false">IF(H222="","",MAX(0,H222-IF(I222="",0,I222)))</f>
        <v/>
      </c>
      <c r="L222" s="25" t="str">
        <f aca="true">IF(H222="","",IF(I222&gt;=H222,"✅ Paid",IF(G222&lt;TODAY(),"🔴 Overdue",IF(G222&lt;=TODAY()+90,"🟡 Due Soon","⬜ Upcoming"))))</f>
        <v/>
      </c>
    </row>
    <row r="223" customFormat="false" ht="15" hidden="false" customHeight="false" outlineLevel="0" collapsed="false">
      <c r="A223" s="24" t="n">
        <v>221</v>
      </c>
      <c r="C223" s="26"/>
      <c r="D223" s="25" t="n">
        <f aca="false">IFERROR(INDEX('DATA ENTRY'!$S:$S,MATCH(C223,'DATA ENTRY'!$B:$B,0)),"")</f>
        <v>0</v>
      </c>
      <c r="E223" s="25" t="n">
        <f aca="false">IFERROR(INDEX('DATA ENTRY'!$C:$C,MATCH(C223,'DATA ENTRY'!$B:$B,0)),"")</f>
        <v>0</v>
      </c>
      <c r="F223" s="25" t="n">
        <f aca="false">IFERROR(INDEX('DATA ENTRY'!$E:$E,MATCH(C223,'DATA ENTRY'!$B:$B,0)),"")</f>
        <v>0</v>
      </c>
      <c r="G223" s="34"/>
      <c r="H223" s="35"/>
      <c r="I223" s="35"/>
      <c r="J223" s="34"/>
      <c r="K223" s="27" t="str">
        <f aca="false">IF(H223="","",MAX(0,H223-IF(I223="",0,I223)))</f>
        <v/>
      </c>
      <c r="L223" s="25" t="str">
        <f aca="true">IF(H223="","",IF(I223&gt;=H223,"✅ Paid",IF(G223&lt;TODAY(),"🔴 Overdue",IF(G223&lt;=TODAY()+90,"🟡 Due Soon","⬜ Upcoming"))))</f>
        <v/>
      </c>
    </row>
    <row r="224" customFormat="false" ht="15" hidden="false" customHeight="false" outlineLevel="0" collapsed="false">
      <c r="A224" s="24" t="n">
        <v>222</v>
      </c>
      <c r="C224" s="26"/>
      <c r="D224" s="25" t="n">
        <f aca="false">IFERROR(INDEX('DATA ENTRY'!$S:$S,MATCH(C224,'DATA ENTRY'!$B:$B,0)),"")</f>
        <v>0</v>
      </c>
      <c r="E224" s="25" t="n">
        <f aca="false">IFERROR(INDEX('DATA ENTRY'!$C:$C,MATCH(C224,'DATA ENTRY'!$B:$B,0)),"")</f>
        <v>0</v>
      </c>
      <c r="F224" s="25" t="n">
        <f aca="false">IFERROR(INDEX('DATA ENTRY'!$E:$E,MATCH(C224,'DATA ENTRY'!$B:$B,0)),"")</f>
        <v>0</v>
      </c>
      <c r="G224" s="34"/>
      <c r="H224" s="35"/>
      <c r="I224" s="35"/>
      <c r="J224" s="34"/>
      <c r="K224" s="27" t="str">
        <f aca="false">IF(H224="","",MAX(0,H224-IF(I224="",0,I224)))</f>
        <v/>
      </c>
      <c r="L224" s="25" t="str">
        <f aca="true">IF(H224="","",IF(I224&gt;=H224,"✅ Paid",IF(G224&lt;TODAY(),"🔴 Overdue",IF(G224&lt;=TODAY()+90,"🟡 Due Soon","⬜ Upcoming"))))</f>
        <v/>
      </c>
    </row>
    <row r="225" customFormat="false" ht="15" hidden="false" customHeight="false" outlineLevel="0" collapsed="false">
      <c r="A225" s="24" t="n">
        <v>223</v>
      </c>
      <c r="C225" s="26"/>
      <c r="D225" s="25" t="n">
        <f aca="false">IFERROR(INDEX('DATA ENTRY'!$S:$S,MATCH(C225,'DATA ENTRY'!$B:$B,0)),"")</f>
        <v>0</v>
      </c>
      <c r="E225" s="25" t="n">
        <f aca="false">IFERROR(INDEX('DATA ENTRY'!$C:$C,MATCH(C225,'DATA ENTRY'!$B:$B,0)),"")</f>
        <v>0</v>
      </c>
      <c r="F225" s="25" t="n">
        <f aca="false">IFERROR(INDEX('DATA ENTRY'!$E:$E,MATCH(C225,'DATA ENTRY'!$B:$B,0)),"")</f>
        <v>0</v>
      </c>
      <c r="G225" s="34"/>
      <c r="H225" s="35"/>
      <c r="I225" s="35"/>
      <c r="J225" s="34"/>
      <c r="K225" s="27" t="str">
        <f aca="false">IF(H225="","",MAX(0,H225-IF(I225="",0,I225)))</f>
        <v/>
      </c>
      <c r="L225" s="25" t="str">
        <f aca="true">IF(H225="","",IF(I225&gt;=H225,"✅ Paid",IF(G225&lt;TODAY(),"🔴 Overdue",IF(G225&lt;=TODAY()+90,"🟡 Due Soon","⬜ Upcoming"))))</f>
        <v/>
      </c>
    </row>
    <row r="226" customFormat="false" ht="15" hidden="false" customHeight="false" outlineLevel="0" collapsed="false">
      <c r="A226" s="24" t="n">
        <v>224</v>
      </c>
      <c r="C226" s="26"/>
      <c r="D226" s="25" t="n">
        <f aca="false">IFERROR(INDEX('DATA ENTRY'!$S:$S,MATCH(C226,'DATA ENTRY'!$B:$B,0)),"")</f>
        <v>0</v>
      </c>
      <c r="E226" s="25" t="n">
        <f aca="false">IFERROR(INDEX('DATA ENTRY'!$C:$C,MATCH(C226,'DATA ENTRY'!$B:$B,0)),"")</f>
        <v>0</v>
      </c>
      <c r="F226" s="25" t="n">
        <f aca="false">IFERROR(INDEX('DATA ENTRY'!$E:$E,MATCH(C226,'DATA ENTRY'!$B:$B,0)),"")</f>
        <v>0</v>
      </c>
      <c r="G226" s="34"/>
      <c r="H226" s="35"/>
      <c r="I226" s="35"/>
      <c r="J226" s="34"/>
      <c r="K226" s="27" t="str">
        <f aca="false">IF(H226="","",MAX(0,H226-IF(I226="",0,I226)))</f>
        <v/>
      </c>
      <c r="L226" s="25" t="str">
        <f aca="true">IF(H226="","",IF(I226&gt;=H226,"✅ Paid",IF(G226&lt;TODAY(),"🔴 Overdue",IF(G226&lt;=TODAY()+90,"🟡 Due Soon","⬜ Upcoming"))))</f>
        <v/>
      </c>
    </row>
    <row r="227" customFormat="false" ht="15" hidden="false" customHeight="false" outlineLevel="0" collapsed="false">
      <c r="A227" s="24" t="n">
        <v>225</v>
      </c>
      <c r="C227" s="26"/>
      <c r="D227" s="25" t="n">
        <f aca="false">IFERROR(INDEX('DATA ENTRY'!$S:$S,MATCH(C227,'DATA ENTRY'!$B:$B,0)),"")</f>
        <v>0</v>
      </c>
      <c r="E227" s="25" t="n">
        <f aca="false">IFERROR(INDEX('DATA ENTRY'!$C:$C,MATCH(C227,'DATA ENTRY'!$B:$B,0)),"")</f>
        <v>0</v>
      </c>
      <c r="F227" s="25" t="n">
        <f aca="false">IFERROR(INDEX('DATA ENTRY'!$E:$E,MATCH(C227,'DATA ENTRY'!$B:$B,0)),"")</f>
        <v>0</v>
      </c>
      <c r="G227" s="34"/>
      <c r="H227" s="35"/>
      <c r="I227" s="35"/>
      <c r="J227" s="34"/>
      <c r="K227" s="27" t="str">
        <f aca="false">IF(H227="","",MAX(0,H227-IF(I227="",0,I227)))</f>
        <v/>
      </c>
      <c r="L227" s="25" t="str">
        <f aca="true">IF(H227="","",IF(I227&gt;=H227,"✅ Paid",IF(G227&lt;TODAY(),"🔴 Overdue",IF(G227&lt;=TODAY()+90,"🟡 Due Soon","⬜ Upcoming"))))</f>
        <v/>
      </c>
    </row>
    <row r="228" customFormat="false" ht="15" hidden="false" customHeight="false" outlineLevel="0" collapsed="false">
      <c r="A228" s="24" t="n">
        <v>226</v>
      </c>
      <c r="C228" s="26"/>
      <c r="D228" s="25" t="n">
        <f aca="false">IFERROR(INDEX('DATA ENTRY'!$S:$S,MATCH(C228,'DATA ENTRY'!$B:$B,0)),"")</f>
        <v>0</v>
      </c>
      <c r="E228" s="25" t="n">
        <f aca="false">IFERROR(INDEX('DATA ENTRY'!$C:$C,MATCH(C228,'DATA ENTRY'!$B:$B,0)),"")</f>
        <v>0</v>
      </c>
      <c r="F228" s="25" t="n">
        <f aca="false">IFERROR(INDEX('DATA ENTRY'!$E:$E,MATCH(C228,'DATA ENTRY'!$B:$B,0)),"")</f>
        <v>0</v>
      </c>
      <c r="G228" s="34"/>
      <c r="H228" s="35"/>
      <c r="I228" s="35"/>
      <c r="J228" s="34"/>
      <c r="K228" s="27" t="str">
        <f aca="false">IF(H228="","",MAX(0,H228-IF(I228="",0,I228)))</f>
        <v/>
      </c>
      <c r="L228" s="25" t="str">
        <f aca="true">IF(H228="","",IF(I228&gt;=H228,"✅ Paid",IF(G228&lt;TODAY(),"🔴 Overdue",IF(G228&lt;=TODAY()+90,"🟡 Due Soon","⬜ Upcoming"))))</f>
        <v/>
      </c>
    </row>
    <row r="229" customFormat="false" ht="15" hidden="false" customHeight="false" outlineLevel="0" collapsed="false">
      <c r="A229" s="24" t="n">
        <v>227</v>
      </c>
      <c r="C229" s="26"/>
      <c r="D229" s="25" t="n">
        <f aca="false">IFERROR(INDEX('DATA ENTRY'!$S:$S,MATCH(C229,'DATA ENTRY'!$B:$B,0)),"")</f>
        <v>0</v>
      </c>
      <c r="E229" s="25" t="n">
        <f aca="false">IFERROR(INDEX('DATA ENTRY'!$C:$C,MATCH(C229,'DATA ENTRY'!$B:$B,0)),"")</f>
        <v>0</v>
      </c>
      <c r="F229" s="25" t="n">
        <f aca="false">IFERROR(INDEX('DATA ENTRY'!$E:$E,MATCH(C229,'DATA ENTRY'!$B:$B,0)),"")</f>
        <v>0</v>
      </c>
      <c r="G229" s="34"/>
      <c r="H229" s="35"/>
      <c r="I229" s="35"/>
      <c r="J229" s="34"/>
      <c r="K229" s="27" t="str">
        <f aca="false">IF(H229="","",MAX(0,H229-IF(I229="",0,I229)))</f>
        <v/>
      </c>
      <c r="L229" s="25" t="str">
        <f aca="true">IF(H229="","",IF(I229&gt;=H229,"✅ Paid",IF(G229&lt;TODAY(),"🔴 Overdue",IF(G229&lt;=TODAY()+90,"🟡 Due Soon","⬜ Upcoming"))))</f>
        <v/>
      </c>
    </row>
    <row r="230" customFormat="false" ht="15" hidden="false" customHeight="false" outlineLevel="0" collapsed="false">
      <c r="A230" s="24" t="n">
        <v>228</v>
      </c>
      <c r="C230" s="26"/>
      <c r="D230" s="25" t="n">
        <f aca="false">IFERROR(INDEX('DATA ENTRY'!$S:$S,MATCH(C230,'DATA ENTRY'!$B:$B,0)),"")</f>
        <v>0</v>
      </c>
      <c r="E230" s="25" t="n">
        <f aca="false">IFERROR(INDEX('DATA ENTRY'!$C:$C,MATCH(C230,'DATA ENTRY'!$B:$B,0)),"")</f>
        <v>0</v>
      </c>
      <c r="F230" s="25" t="n">
        <f aca="false">IFERROR(INDEX('DATA ENTRY'!$E:$E,MATCH(C230,'DATA ENTRY'!$B:$B,0)),"")</f>
        <v>0</v>
      </c>
      <c r="G230" s="34"/>
      <c r="H230" s="35"/>
      <c r="I230" s="35"/>
      <c r="J230" s="34"/>
      <c r="K230" s="27" t="str">
        <f aca="false">IF(H230="","",MAX(0,H230-IF(I230="",0,I230)))</f>
        <v/>
      </c>
      <c r="L230" s="25" t="str">
        <f aca="true">IF(H230="","",IF(I230&gt;=H230,"✅ Paid",IF(G230&lt;TODAY(),"🔴 Overdue",IF(G230&lt;=TODAY()+90,"🟡 Due Soon","⬜ Upcoming"))))</f>
        <v/>
      </c>
    </row>
    <row r="231" customFormat="false" ht="15" hidden="false" customHeight="false" outlineLevel="0" collapsed="false">
      <c r="A231" s="24" t="n">
        <v>229</v>
      </c>
      <c r="C231" s="26"/>
      <c r="D231" s="25" t="n">
        <f aca="false">IFERROR(INDEX('DATA ENTRY'!$S:$S,MATCH(C231,'DATA ENTRY'!$B:$B,0)),"")</f>
        <v>0</v>
      </c>
      <c r="E231" s="25" t="n">
        <f aca="false">IFERROR(INDEX('DATA ENTRY'!$C:$C,MATCH(C231,'DATA ENTRY'!$B:$B,0)),"")</f>
        <v>0</v>
      </c>
      <c r="F231" s="25" t="n">
        <f aca="false">IFERROR(INDEX('DATA ENTRY'!$E:$E,MATCH(C231,'DATA ENTRY'!$B:$B,0)),"")</f>
        <v>0</v>
      </c>
      <c r="G231" s="34"/>
      <c r="H231" s="35"/>
      <c r="I231" s="35"/>
      <c r="J231" s="34"/>
      <c r="K231" s="27" t="str">
        <f aca="false">IF(H231="","",MAX(0,H231-IF(I231="",0,I231)))</f>
        <v/>
      </c>
      <c r="L231" s="25" t="str">
        <f aca="true">IF(H231="","",IF(I231&gt;=H231,"✅ Paid",IF(G231&lt;TODAY(),"🔴 Overdue",IF(G231&lt;=TODAY()+90,"🟡 Due Soon","⬜ Upcoming"))))</f>
        <v/>
      </c>
    </row>
    <row r="232" customFormat="false" ht="15" hidden="false" customHeight="false" outlineLevel="0" collapsed="false">
      <c r="A232" s="24" t="n">
        <v>230</v>
      </c>
      <c r="C232" s="26"/>
      <c r="D232" s="25" t="n">
        <f aca="false">IFERROR(INDEX('DATA ENTRY'!$S:$S,MATCH(C232,'DATA ENTRY'!$B:$B,0)),"")</f>
        <v>0</v>
      </c>
      <c r="E232" s="25" t="n">
        <f aca="false">IFERROR(INDEX('DATA ENTRY'!$C:$C,MATCH(C232,'DATA ENTRY'!$B:$B,0)),"")</f>
        <v>0</v>
      </c>
      <c r="F232" s="25" t="n">
        <f aca="false">IFERROR(INDEX('DATA ENTRY'!$E:$E,MATCH(C232,'DATA ENTRY'!$B:$B,0)),"")</f>
        <v>0</v>
      </c>
      <c r="G232" s="34"/>
      <c r="H232" s="35"/>
      <c r="I232" s="35"/>
      <c r="J232" s="34"/>
      <c r="K232" s="27" t="str">
        <f aca="false">IF(H232="","",MAX(0,H232-IF(I232="",0,I232)))</f>
        <v/>
      </c>
      <c r="L232" s="25" t="str">
        <f aca="true">IF(H232="","",IF(I232&gt;=H232,"✅ Paid",IF(G232&lt;TODAY(),"🔴 Overdue",IF(G232&lt;=TODAY()+90,"🟡 Due Soon","⬜ Upcoming"))))</f>
        <v/>
      </c>
    </row>
    <row r="233" customFormat="false" ht="15" hidden="false" customHeight="false" outlineLevel="0" collapsed="false">
      <c r="A233" s="24" t="n">
        <v>231</v>
      </c>
      <c r="C233" s="26"/>
      <c r="D233" s="25" t="n">
        <f aca="false">IFERROR(INDEX('DATA ENTRY'!$S:$S,MATCH(C233,'DATA ENTRY'!$B:$B,0)),"")</f>
        <v>0</v>
      </c>
      <c r="E233" s="25" t="n">
        <f aca="false">IFERROR(INDEX('DATA ENTRY'!$C:$C,MATCH(C233,'DATA ENTRY'!$B:$B,0)),"")</f>
        <v>0</v>
      </c>
      <c r="F233" s="25" t="n">
        <f aca="false">IFERROR(INDEX('DATA ENTRY'!$E:$E,MATCH(C233,'DATA ENTRY'!$B:$B,0)),"")</f>
        <v>0</v>
      </c>
      <c r="G233" s="34"/>
      <c r="H233" s="35"/>
      <c r="I233" s="35"/>
      <c r="J233" s="34"/>
      <c r="K233" s="27" t="str">
        <f aca="false">IF(H233="","",MAX(0,H233-IF(I233="",0,I233)))</f>
        <v/>
      </c>
      <c r="L233" s="25" t="str">
        <f aca="true">IF(H233="","",IF(I233&gt;=H233,"✅ Paid",IF(G233&lt;TODAY(),"🔴 Overdue",IF(G233&lt;=TODAY()+90,"🟡 Due Soon","⬜ Upcoming"))))</f>
        <v/>
      </c>
    </row>
    <row r="234" customFormat="false" ht="15" hidden="false" customHeight="false" outlineLevel="0" collapsed="false">
      <c r="A234" s="24" t="n">
        <v>232</v>
      </c>
      <c r="C234" s="26"/>
      <c r="D234" s="25" t="n">
        <f aca="false">IFERROR(INDEX('DATA ENTRY'!$S:$S,MATCH(C234,'DATA ENTRY'!$B:$B,0)),"")</f>
        <v>0</v>
      </c>
      <c r="E234" s="25" t="n">
        <f aca="false">IFERROR(INDEX('DATA ENTRY'!$C:$C,MATCH(C234,'DATA ENTRY'!$B:$B,0)),"")</f>
        <v>0</v>
      </c>
      <c r="F234" s="25" t="n">
        <f aca="false">IFERROR(INDEX('DATA ENTRY'!$E:$E,MATCH(C234,'DATA ENTRY'!$B:$B,0)),"")</f>
        <v>0</v>
      </c>
      <c r="G234" s="34"/>
      <c r="H234" s="35"/>
      <c r="I234" s="35"/>
      <c r="J234" s="34"/>
      <c r="K234" s="27" t="str">
        <f aca="false">IF(H234="","",MAX(0,H234-IF(I234="",0,I234)))</f>
        <v/>
      </c>
      <c r="L234" s="25" t="str">
        <f aca="true">IF(H234="","",IF(I234&gt;=H234,"✅ Paid",IF(G234&lt;TODAY(),"🔴 Overdue",IF(G234&lt;=TODAY()+90,"🟡 Due Soon","⬜ Upcoming"))))</f>
        <v/>
      </c>
    </row>
    <row r="235" customFormat="false" ht="15" hidden="false" customHeight="false" outlineLevel="0" collapsed="false">
      <c r="A235" s="24" t="n">
        <v>233</v>
      </c>
      <c r="C235" s="26"/>
      <c r="D235" s="25" t="n">
        <f aca="false">IFERROR(INDEX('DATA ENTRY'!$S:$S,MATCH(C235,'DATA ENTRY'!$B:$B,0)),"")</f>
        <v>0</v>
      </c>
      <c r="E235" s="25" t="n">
        <f aca="false">IFERROR(INDEX('DATA ENTRY'!$C:$C,MATCH(C235,'DATA ENTRY'!$B:$B,0)),"")</f>
        <v>0</v>
      </c>
      <c r="F235" s="25" t="n">
        <f aca="false">IFERROR(INDEX('DATA ENTRY'!$E:$E,MATCH(C235,'DATA ENTRY'!$B:$B,0)),"")</f>
        <v>0</v>
      </c>
      <c r="G235" s="34"/>
      <c r="H235" s="35"/>
      <c r="I235" s="35"/>
      <c r="J235" s="34"/>
      <c r="K235" s="27" t="str">
        <f aca="false">IF(H235="","",MAX(0,H235-IF(I235="",0,I235)))</f>
        <v/>
      </c>
      <c r="L235" s="25" t="str">
        <f aca="true">IF(H235="","",IF(I235&gt;=H235,"✅ Paid",IF(G235&lt;TODAY(),"🔴 Overdue",IF(G235&lt;=TODAY()+90,"🟡 Due Soon","⬜ Upcoming"))))</f>
        <v/>
      </c>
    </row>
    <row r="236" customFormat="false" ht="15" hidden="false" customHeight="false" outlineLevel="0" collapsed="false">
      <c r="A236" s="24" t="n">
        <v>234</v>
      </c>
      <c r="C236" s="26"/>
      <c r="D236" s="25" t="n">
        <f aca="false">IFERROR(INDEX('DATA ENTRY'!$S:$S,MATCH(C236,'DATA ENTRY'!$B:$B,0)),"")</f>
        <v>0</v>
      </c>
      <c r="E236" s="25" t="n">
        <f aca="false">IFERROR(INDEX('DATA ENTRY'!$C:$C,MATCH(C236,'DATA ENTRY'!$B:$B,0)),"")</f>
        <v>0</v>
      </c>
      <c r="F236" s="25" t="n">
        <f aca="false">IFERROR(INDEX('DATA ENTRY'!$E:$E,MATCH(C236,'DATA ENTRY'!$B:$B,0)),"")</f>
        <v>0</v>
      </c>
      <c r="G236" s="34"/>
      <c r="H236" s="35"/>
      <c r="I236" s="35"/>
      <c r="J236" s="34"/>
      <c r="K236" s="27" t="str">
        <f aca="false">IF(H236="","",MAX(0,H236-IF(I236="",0,I236)))</f>
        <v/>
      </c>
      <c r="L236" s="25" t="str">
        <f aca="true">IF(H236="","",IF(I236&gt;=H236,"✅ Paid",IF(G236&lt;TODAY(),"🔴 Overdue",IF(G236&lt;=TODAY()+90,"🟡 Due Soon","⬜ Upcoming"))))</f>
        <v/>
      </c>
    </row>
    <row r="237" customFormat="false" ht="15" hidden="false" customHeight="false" outlineLevel="0" collapsed="false">
      <c r="A237" s="24" t="n">
        <v>235</v>
      </c>
      <c r="C237" s="26"/>
      <c r="D237" s="25" t="n">
        <f aca="false">IFERROR(INDEX('DATA ENTRY'!$S:$S,MATCH(C237,'DATA ENTRY'!$B:$B,0)),"")</f>
        <v>0</v>
      </c>
      <c r="E237" s="25" t="n">
        <f aca="false">IFERROR(INDEX('DATA ENTRY'!$C:$C,MATCH(C237,'DATA ENTRY'!$B:$B,0)),"")</f>
        <v>0</v>
      </c>
      <c r="F237" s="25" t="n">
        <f aca="false">IFERROR(INDEX('DATA ENTRY'!$E:$E,MATCH(C237,'DATA ENTRY'!$B:$B,0)),"")</f>
        <v>0</v>
      </c>
      <c r="G237" s="34"/>
      <c r="H237" s="35"/>
      <c r="I237" s="35"/>
      <c r="J237" s="34"/>
      <c r="K237" s="27" t="str">
        <f aca="false">IF(H237="","",MAX(0,H237-IF(I237="",0,I237)))</f>
        <v/>
      </c>
      <c r="L237" s="25" t="str">
        <f aca="true">IF(H237="","",IF(I237&gt;=H237,"✅ Paid",IF(G237&lt;TODAY(),"🔴 Overdue",IF(G237&lt;=TODAY()+90,"🟡 Due Soon","⬜ Upcoming"))))</f>
        <v/>
      </c>
    </row>
    <row r="238" customFormat="false" ht="15" hidden="false" customHeight="false" outlineLevel="0" collapsed="false">
      <c r="A238" s="24" t="n">
        <v>236</v>
      </c>
      <c r="C238" s="26"/>
      <c r="D238" s="25" t="n">
        <f aca="false">IFERROR(INDEX('DATA ENTRY'!$S:$S,MATCH(C238,'DATA ENTRY'!$B:$B,0)),"")</f>
        <v>0</v>
      </c>
      <c r="E238" s="25" t="n">
        <f aca="false">IFERROR(INDEX('DATA ENTRY'!$C:$C,MATCH(C238,'DATA ENTRY'!$B:$B,0)),"")</f>
        <v>0</v>
      </c>
      <c r="F238" s="25" t="n">
        <f aca="false">IFERROR(INDEX('DATA ENTRY'!$E:$E,MATCH(C238,'DATA ENTRY'!$B:$B,0)),"")</f>
        <v>0</v>
      </c>
      <c r="G238" s="34"/>
      <c r="H238" s="35"/>
      <c r="I238" s="35"/>
      <c r="J238" s="34"/>
      <c r="K238" s="27" t="str">
        <f aca="false">IF(H238="","",MAX(0,H238-IF(I238="",0,I238)))</f>
        <v/>
      </c>
      <c r="L238" s="25" t="str">
        <f aca="true">IF(H238="","",IF(I238&gt;=H238,"✅ Paid",IF(G238&lt;TODAY(),"🔴 Overdue",IF(G238&lt;=TODAY()+90,"🟡 Due Soon","⬜ Upcoming"))))</f>
        <v/>
      </c>
    </row>
    <row r="239" customFormat="false" ht="15" hidden="false" customHeight="false" outlineLevel="0" collapsed="false">
      <c r="A239" s="24" t="n">
        <v>237</v>
      </c>
      <c r="C239" s="26"/>
      <c r="D239" s="25" t="n">
        <f aca="false">IFERROR(INDEX('DATA ENTRY'!$S:$S,MATCH(C239,'DATA ENTRY'!$B:$B,0)),"")</f>
        <v>0</v>
      </c>
      <c r="E239" s="25" t="n">
        <f aca="false">IFERROR(INDEX('DATA ENTRY'!$C:$C,MATCH(C239,'DATA ENTRY'!$B:$B,0)),"")</f>
        <v>0</v>
      </c>
      <c r="F239" s="25" t="n">
        <f aca="false">IFERROR(INDEX('DATA ENTRY'!$E:$E,MATCH(C239,'DATA ENTRY'!$B:$B,0)),"")</f>
        <v>0</v>
      </c>
      <c r="G239" s="34"/>
      <c r="H239" s="35"/>
      <c r="I239" s="35"/>
      <c r="J239" s="34"/>
      <c r="K239" s="27" t="str">
        <f aca="false">IF(H239="","",MAX(0,H239-IF(I239="",0,I239)))</f>
        <v/>
      </c>
      <c r="L239" s="25" t="str">
        <f aca="true">IF(H239="","",IF(I239&gt;=H239,"✅ Paid",IF(G239&lt;TODAY(),"🔴 Overdue",IF(G239&lt;=TODAY()+90,"🟡 Due Soon","⬜ Upcoming"))))</f>
        <v/>
      </c>
    </row>
    <row r="240" customFormat="false" ht="15" hidden="false" customHeight="false" outlineLevel="0" collapsed="false">
      <c r="A240" s="24" t="n">
        <v>238</v>
      </c>
      <c r="C240" s="26"/>
      <c r="D240" s="25" t="n">
        <f aca="false">IFERROR(INDEX('DATA ENTRY'!$S:$S,MATCH(C240,'DATA ENTRY'!$B:$B,0)),"")</f>
        <v>0</v>
      </c>
      <c r="E240" s="25" t="n">
        <f aca="false">IFERROR(INDEX('DATA ENTRY'!$C:$C,MATCH(C240,'DATA ENTRY'!$B:$B,0)),"")</f>
        <v>0</v>
      </c>
      <c r="F240" s="25" t="n">
        <f aca="false">IFERROR(INDEX('DATA ENTRY'!$E:$E,MATCH(C240,'DATA ENTRY'!$B:$B,0)),"")</f>
        <v>0</v>
      </c>
      <c r="G240" s="34"/>
      <c r="H240" s="35"/>
      <c r="I240" s="35"/>
      <c r="J240" s="34"/>
      <c r="K240" s="27" t="str">
        <f aca="false">IF(H240="","",MAX(0,H240-IF(I240="",0,I240)))</f>
        <v/>
      </c>
      <c r="L240" s="25" t="str">
        <f aca="true">IF(H240="","",IF(I240&gt;=H240,"✅ Paid",IF(G240&lt;TODAY(),"🔴 Overdue",IF(G240&lt;=TODAY()+90,"🟡 Due Soon","⬜ Upcoming"))))</f>
        <v/>
      </c>
    </row>
    <row r="241" customFormat="false" ht="15" hidden="false" customHeight="false" outlineLevel="0" collapsed="false">
      <c r="A241" s="24" t="n">
        <v>239</v>
      </c>
      <c r="C241" s="26"/>
      <c r="D241" s="25" t="n">
        <f aca="false">IFERROR(INDEX('DATA ENTRY'!$S:$S,MATCH(C241,'DATA ENTRY'!$B:$B,0)),"")</f>
        <v>0</v>
      </c>
      <c r="E241" s="25" t="n">
        <f aca="false">IFERROR(INDEX('DATA ENTRY'!$C:$C,MATCH(C241,'DATA ENTRY'!$B:$B,0)),"")</f>
        <v>0</v>
      </c>
      <c r="F241" s="25" t="n">
        <f aca="false">IFERROR(INDEX('DATA ENTRY'!$E:$E,MATCH(C241,'DATA ENTRY'!$B:$B,0)),"")</f>
        <v>0</v>
      </c>
      <c r="G241" s="34"/>
      <c r="H241" s="35"/>
      <c r="I241" s="35"/>
      <c r="J241" s="34"/>
      <c r="K241" s="27" t="str">
        <f aca="false">IF(H241="","",MAX(0,H241-IF(I241="",0,I241)))</f>
        <v/>
      </c>
      <c r="L241" s="25" t="str">
        <f aca="true">IF(H241="","",IF(I241&gt;=H241,"✅ Paid",IF(G241&lt;TODAY(),"🔴 Overdue",IF(G241&lt;=TODAY()+90,"🟡 Due Soon","⬜ Upcoming"))))</f>
        <v/>
      </c>
    </row>
    <row r="242" customFormat="false" ht="15" hidden="false" customHeight="false" outlineLevel="0" collapsed="false">
      <c r="A242" s="24" t="n">
        <v>240</v>
      </c>
      <c r="C242" s="26"/>
      <c r="D242" s="25" t="n">
        <f aca="false">IFERROR(INDEX('DATA ENTRY'!$S:$S,MATCH(C242,'DATA ENTRY'!$B:$B,0)),"")</f>
        <v>0</v>
      </c>
      <c r="E242" s="25" t="n">
        <f aca="false">IFERROR(INDEX('DATA ENTRY'!$C:$C,MATCH(C242,'DATA ENTRY'!$B:$B,0)),"")</f>
        <v>0</v>
      </c>
      <c r="F242" s="25" t="n">
        <f aca="false">IFERROR(INDEX('DATA ENTRY'!$E:$E,MATCH(C242,'DATA ENTRY'!$B:$B,0)),"")</f>
        <v>0</v>
      </c>
      <c r="G242" s="34"/>
      <c r="H242" s="35"/>
      <c r="I242" s="35"/>
      <c r="J242" s="34"/>
      <c r="K242" s="27" t="str">
        <f aca="false">IF(H242="","",MAX(0,H242-IF(I242="",0,I242)))</f>
        <v/>
      </c>
      <c r="L242" s="25" t="str">
        <f aca="true">IF(H242="","",IF(I242&gt;=H242,"✅ Paid",IF(G242&lt;TODAY(),"🔴 Overdue",IF(G242&lt;=TODAY()+90,"🟡 Due Soon","⬜ Upcoming"))))</f>
        <v/>
      </c>
    </row>
    <row r="243" customFormat="false" ht="15" hidden="false" customHeight="false" outlineLevel="0" collapsed="false">
      <c r="A243" s="24" t="n">
        <v>241</v>
      </c>
      <c r="C243" s="26"/>
      <c r="D243" s="25" t="n">
        <f aca="false">IFERROR(INDEX('DATA ENTRY'!$S:$S,MATCH(C243,'DATA ENTRY'!$B:$B,0)),"")</f>
        <v>0</v>
      </c>
      <c r="E243" s="25" t="n">
        <f aca="false">IFERROR(INDEX('DATA ENTRY'!$C:$C,MATCH(C243,'DATA ENTRY'!$B:$B,0)),"")</f>
        <v>0</v>
      </c>
      <c r="F243" s="25" t="n">
        <f aca="false">IFERROR(INDEX('DATA ENTRY'!$E:$E,MATCH(C243,'DATA ENTRY'!$B:$B,0)),"")</f>
        <v>0</v>
      </c>
      <c r="G243" s="34"/>
      <c r="H243" s="35"/>
      <c r="I243" s="35"/>
      <c r="J243" s="34"/>
      <c r="K243" s="27" t="str">
        <f aca="false">IF(H243="","",MAX(0,H243-IF(I243="",0,I243)))</f>
        <v/>
      </c>
      <c r="L243" s="25" t="str">
        <f aca="true">IF(H243="","",IF(I243&gt;=H243,"✅ Paid",IF(G243&lt;TODAY(),"🔴 Overdue",IF(G243&lt;=TODAY()+90,"🟡 Due Soon","⬜ Upcoming"))))</f>
        <v/>
      </c>
    </row>
    <row r="244" customFormat="false" ht="15" hidden="false" customHeight="false" outlineLevel="0" collapsed="false">
      <c r="A244" s="24" t="n">
        <v>242</v>
      </c>
      <c r="C244" s="26"/>
      <c r="D244" s="25" t="n">
        <f aca="false">IFERROR(INDEX('DATA ENTRY'!$S:$S,MATCH(C244,'DATA ENTRY'!$B:$B,0)),"")</f>
        <v>0</v>
      </c>
      <c r="E244" s="25" t="n">
        <f aca="false">IFERROR(INDEX('DATA ENTRY'!$C:$C,MATCH(C244,'DATA ENTRY'!$B:$B,0)),"")</f>
        <v>0</v>
      </c>
      <c r="F244" s="25" t="n">
        <f aca="false">IFERROR(INDEX('DATA ENTRY'!$E:$E,MATCH(C244,'DATA ENTRY'!$B:$B,0)),"")</f>
        <v>0</v>
      </c>
      <c r="G244" s="34"/>
      <c r="H244" s="35"/>
      <c r="I244" s="35"/>
      <c r="J244" s="34"/>
      <c r="K244" s="27" t="str">
        <f aca="false">IF(H244="","",MAX(0,H244-IF(I244="",0,I244)))</f>
        <v/>
      </c>
      <c r="L244" s="25" t="str">
        <f aca="true">IF(H244="","",IF(I244&gt;=H244,"✅ Paid",IF(G244&lt;TODAY(),"🔴 Overdue",IF(G244&lt;=TODAY()+90,"🟡 Due Soon","⬜ Upcoming"))))</f>
        <v/>
      </c>
    </row>
    <row r="245" customFormat="false" ht="15" hidden="false" customHeight="false" outlineLevel="0" collapsed="false">
      <c r="A245" s="24" t="n">
        <v>243</v>
      </c>
      <c r="C245" s="26"/>
      <c r="D245" s="25" t="n">
        <f aca="false">IFERROR(INDEX('DATA ENTRY'!$S:$S,MATCH(C245,'DATA ENTRY'!$B:$B,0)),"")</f>
        <v>0</v>
      </c>
      <c r="E245" s="25" t="n">
        <f aca="false">IFERROR(INDEX('DATA ENTRY'!$C:$C,MATCH(C245,'DATA ENTRY'!$B:$B,0)),"")</f>
        <v>0</v>
      </c>
      <c r="F245" s="25" t="n">
        <f aca="false">IFERROR(INDEX('DATA ENTRY'!$E:$E,MATCH(C245,'DATA ENTRY'!$B:$B,0)),"")</f>
        <v>0</v>
      </c>
      <c r="G245" s="34"/>
      <c r="H245" s="35"/>
      <c r="I245" s="35"/>
      <c r="J245" s="34"/>
      <c r="K245" s="27" t="str">
        <f aca="false">IF(H245="","",MAX(0,H245-IF(I245="",0,I245)))</f>
        <v/>
      </c>
      <c r="L245" s="25" t="str">
        <f aca="true">IF(H245="","",IF(I245&gt;=H245,"✅ Paid",IF(G245&lt;TODAY(),"🔴 Overdue",IF(G245&lt;=TODAY()+90,"🟡 Due Soon","⬜ Upcoming"))))</f>
        <v/>
      </c>
    </row>
    <row r="246" customFormat="false" ht="15" hidden="false" customHeight="false" outlineLevel="0" collapsed="false">
      <c r="A246" s="24" t="n">
        <v>244</v>
      </c>
      <c r="C246" s="26"/>
      <c r="D246" s="25" t="n">
        <f aca="false">IFERROR(INDEX('DATA ENTRY'!$S:$S,MATCH(C246,'DATA ENTRY'!$B:$B,0)),"")</f>
        <v>0</v>
      </c>
      <c r="E246" s="25" t="n">
        <f aca="false">IFERROR(INDEX('DATA ENTRY'!$C:$C,MATCH(C246,'DATA ENTRY'!$B:$B,0)),"")</f>
        <v>0</v>
      </c>
      <c r="F246" s="25" t="n">
        <f aca="false">IFERROR(INDEX('DATA ENTRY'!$E:$E,MATCH(C246,'DATA ENTRY'!$B:$B,0)),"")</f>
        <v>0</v>
      </c>
      <c r="G246" s="34"/>
      <c r="H246" s="35"/>
      <c r="I246" s="35"/>
      <c r="J246" s="34"/>
      <c r="K246" s="27" t="str">
        <f aca="false">IF(H246="","",MAX(0,H246-IF(I246="",0,I246)))</f>
        <v/>
      </c>
      <c r="L246" s="25" t="str">
        <f aca="true">IF(H246="","",IF(I246&gt;=H246,"✅ Paid",IF(G246&lt;TODAY(),"🔴 Overdue",IF(G246&lt;=TODAY()+90,"🟡 Due Soon","⬜ Upcoming"))))</f>
        <v/>
      </c>
    </row>
    <row r="247" customFormat="false" ht="15" hidden="false" customHeight="false" outlineLevel="0" collapsed="false">
      <c r="A247" s="24" t="n">
        <v>245</v>
      </c>
      <c r="C247" s="26"/>
      <c r="D247" s="25" t="n">
        <f aca="false">IFERROR(INDEX('DATA ENTRY'!$S:$S,MATCH(C247,'DATA ENTRY'!$B:$B,0)),"")</f>
        <v>0</v>
      </c>
      <c r="E247" s="25" t="n">
        <f aca="false">IFERROR(INDEX('DATA ENTRY'!$C:$C,MATCH(C247,'DATA ENTRY'!$B:$B,0)),"")</f>
        <v>0</v>
      </c>
      <c r="F247" s="25" t="n">
        <f aca="false">IFERROR(INDEX('DATA ENTRY'!$E:$E,MATCH(C247,'DATA ENTRY'!$B:$B,0)),"")</f>
        <v>0</v>
      </c>
      <c r="G247" s="34"/>
      <c r="H247" s="35"/>
      <c r="I247" s="35"/>
      <c r="J247" s="34"/>
      <c r="K247" s="27" t="str">
        <f aca="false">IF(H247="","",MAX(0,H247-IF(I247="",0,I247)))</f>
        <v/>
      </c>
      <c r="L247" s="25" t="str">
        <f aca="true">IF(H247="","",IF(I247&gt;=H247,"✅ Paid",IF(G247&lt;TODAY(),"🔴 Overdue",IF(G247&lt;=TODAY()+90,"🟡 Due Soon","⬜ Upcoming"))))</f>
        <v/>
      </c>
    </row>
    <row r="248" customFormat="false" ht="15" hidden="false" customHeight="false" outlineLevel="0" collapsed="false">
      <c r="A248" s="24" t="n">
        <v>246</v>
      </c>
      <c r="C248" s="26"/>
      <c r="D248" s="25" t="n">
        <f aca="false">IFERROR(INDEX('DATA ENTRY'!$S:$S,MATCH(C248,'DATA ENTRY'!$B:$B,0)),"")</f>
        <v>0</v>
      </c>
      <c r="E248" s="25" t="n">
        <f aca="false">IFERROR(INDEX('DATA ENTRY'!$C:$C,MATCH(C248,'DATA ENTRY'!$B:$B,0)),"")</f>
        <v>0</v>
      </c>
      <c r="F248" s="25" t="n">
        <f aca="false">IFERROR(INDEX('DATA ENTRY'!$E:$E,MATCH(C248,'DATA ENTRY'!$B:$B,0)),"")</f>
        <v>0</v>
      </c>
      <c r="G248" s="34"/>
      <c r="H248" s="35"/>
      <c r="I248" s="35"/>
      <c r="J248" s="34"/>
      <c r="K248" s="27" t="str">
        <f aca="false">IF(H248="","",MAX(0,H248-IF(I248="",0,I248)))</f>
        <v/>
      </c>
      <c r="L248" s="25" t="str">
        <f aca="true">IF(H248="","",IF(I248&gt;=H248,"✅ Paid",IF(G248&lt;TODAY(),"🔴 Overdue",IF(G248&lt;=TODAY()+90,"🟡 Due Soon","⬜ Upcoming"))))</f>
        <v/>
      </c>
    </row>
    <row r="249" customFormat="false" ht="15" hidden="false" customHeight="false" outlineLevel="0" collapsed="false">
      <c r="A249" s="24" t="n">
        <v>247</v>
      </c>
      <c r="C249" s="26"/>
      <c r="D249" s="25" t="n">
        <f aca="false">IFERROR(INDEX('DATA ENTRY'!$S:$S,MATCH(C249,'DATA ENTRY'!$B:$B,0)),"")</f>
        <v>0</v>
      </c>
      <c r="E249" s="25" t="n">
        <f aca="false">IFERROR(INDEX('DATA ENTRY'!$C:$C,MATCH(C249,'DATA ENTRY'!$B:$B,0)),"")</f>
        <v>0</v>
      </c>
      <c r="F249" s="25" t="n">
        <f aca="false">IFERROR(INDEX('DATA ENTRY'!$E:$E,MATCH(C249,'DATA ENTRY'!$B:$B,0)),"")</f>
        <v>0</v>
      </c>
      <c r="G249" s="34"/>
      <c r="H249" s="35"/>
      <c r="I249" s="35"/>
      <c r="J249" s="34"/>
      <c r="K249" s="27" t="str">
        <f aca="false">IF(H249="","",MAX(0,H249-IF(I249="",0,I249)))</f>
        <v/>
      </c>
      <c r="L249" s="25" t="str">
        <f aca="true">IF(H249="","",IF(I249&gt;=H249,"✅ Paid",IF(G249&lt;TODAY(),"🔴 Overdue",IF(G249&lt;=TODAY()+90,"🟡 Due Soon","⬜ Upcoming"))))</f>
        <v/>
      </c>
    </row>
    <row r="250" customFormat="false" ht="15" hidden="false" customHeight="false" outlineLevel="0" collapsed="false">
      <c r="A250" s="24" t="n">
        <v>248</v>
      </c>
      <c r="C250" s="26"/>
      <c r="D250" s="25" t="n">
        <f aca="false">IFERROR(INDEX('DATA ENTRY'!$S:$S,MATCH(C250,'DATA ENTRY'!$B:$B,0)),"")</f>
        <v>0</v>
      </c>
      <c r="E250" s="25" t="n">
        <f aca="false">IFERROR(INDEX('DATA ENTRY'!$C:$C,MATCH(C250,'DATA ENTRY'!$B:$B,0)),"")</f>
        <v>0</v>
      </c>
      <c r="F250" s="25" t="n">
        <f aca="false">IFERROR(INDEX('DATA ENTRY'!$E:$E,MATCH(C250,'DATA ENTRY'!$B:$B,0)),"")</f>
        <v>0</v>
      </c>
      <c r="G250" s="34"/>
      <c r="H250" s="35"/>
      <c r="I250" s="35"/>
      <c r="J250" s="34"/>
      <c r="K250" s="27" t="str">
        <f aca="false">IF(H250="","",MAX(0,H250-IF(I250="",0,I250)))</f>
        <v/>
      </c>
      <c r="L250" s="25" t="str">
        <f aca="true">IF(H250="","",IF(I250&gt;=H250,"✅ Paid",IF(G250&lt;TODAY(),"🔴 Overdue",IF(G250&lt;=TODAY()+90,"🟡 Due Soon","⬜ Upcoming"))))</f>
        <v/>
      </c>
    </row>
    <row r="251" customFormat="false" ht="15" hidden="false" customHeight="false" outlineLevel="0" collapsed="false">
      <c r="A251" s="24" t="n">
        <v>249</v>
      </c>
      <c r="C251" s="26"/>
      <c r="D251" s="25" t="n">
        <f aca="false">IFERROR(INDEX('DATA ENTRY'!$S:$S,MATCH(C251,'DATA ENTRY'!$B:$B,0)),"")</f>
        <v>0</v>
      </c>
      <c r="E251" s="25" t="n">
        <f aca="false">IFERROR(INDEX('DATA ENTRY'!$C:$C,MATCH(C251,'DATA ENTRY'!$B:$B,0)),"")</f>
        <v>0</v>
      </c>
      <c r="F251" s="25" t="n">
        <f aca="false">IFERROR(INDEX('DATA ENTRY'!$E:$E,MATCH(C251,'DATA ENTRY'!$B:$B,0)),"")</f>
        <v>0</v>
      </c>
      <c r="G251" s="34"/>
      <c r="H251" s="35"/>
      <c r="I251" s="35"/>
      <c r="J251" s="34"/>
      <c r="K251" s="27" t="str">
        <f aca="false">IF(H251="","",MAX(0,H251-IF(I251="",0,I251)))</f>
        <v/>
      </c>
      <c r="L251" s="25" t="str">
        <f aca="true">IF(H251="","",IF(I251&gt;=H251,"✅ Paid",IF(G251&lt;TODAY(),"🔴 Overdue",IF(G251&lt;=TODAY()+90,"🟡 Due Soon","⬜ Upcoming"))))</f>
        <v/>
      </c>
    </row>
    <row r="252" customFormat="false" ht="15" hidden="false" customHeight="false" outlineLevel="0" collapsed="false">
      <c r="A252" s="24" t="n">
        <v>250</v>
      </c>
      <c r="C252" s="26"/>
      <c r="D252" s="25" t="n">
        <f aca="false">IFERROR(INDEX('DATA ENTRY'!$S:$S,MATCH(C252,'DATA ENTRY'!$B:$B,0)),"")</f>
        <v>0</v>
      </c>
      <c r="E252" s="25" t="n">
        <f aca="false">IFERROR(INDEX('DATA ENTRY'!$C:$C,MATCH(C252,'DATA ENTRY'!$B:$B,0)),"")</f>
        <v>0</v>
      </c>
      <c r="F252" s="25" t="n">
        <f aca="false">IFERROR(INDEX('DATA ENTRY'!$E:$E,MATCH(C252,'DATA ENTRY'!$B:$B,0)),"")</f>
        <v>0</v>
      </c>
      <c r="G252" s="34"/>
      <c r="H252" s="35"/>
      <c r="I252" s="35"/>
      <c r="J252" s="34"/>
      <c r="K252" s="27" t="str">
        <f aca="false">IF(H252="","",MAX(0,H252-IF(I252="",0,I252)))</f>
        <v/>
      </c>
      <c r="L252" s="25" t="str">
        <f aca="true">IF(H252="","",IF(I252&gt;=H252,"✅ Paid",IF(G252&lt;TODAY(),"🔴 Overdue",IF(G252&lt;=TODAY()+90,"🟡 Due Soon","⬜ Upcoming"))))</f>
        <v/>
      </c>
    </row>
    <row r="253" customFormat="false" ht="15" hidden="false" customHeight="false" outlineLevel="0" collapsed="false">
      <c r="A253" s="24" t="n">
        <v>251</v>
      </c>
      <c r="C253" s="26"/>
      <c r="D253" s="25" t="n">
        <f aca="false">IFERROR(INDEX('DATA ENTRY'!$S:$S,MATCH(C253,'DATA ENTRY'!$B:$B,0)),"")</f>
        <v>0</v>
      </c>
      <c r="E253" s="25" t="n">
        <f aca="false">IFERROR(INDEX('DATA ENTRY'!$C:$C,MATCH(C253,'DATA ENTRY'!$B:$B,0)),"")</f>
        <v>0</v>
      </c>
      <c r="F253" s="25" t="n">
        <f aca="false">IFERROR(INDEX('DATA ENTRY'!$E:$E,MATCH(C253,'DATA ENTRY'!$B:$B,0)),"")</f>
        <v>0</v>
      </c>
      <c r="G253" s="34"/>
      <c r="H253" s="35"/>
      <c r="I253" s="35"/>
      <c r="J253" s="34"/>
      <c r="K253" s="27" t="str">
        <f aca="false">IF(H253="","",MAX(0,H253-IF(I253="",0,I253)))</f>
        <v/>
      </c>
      <c r="L253" s="25" t="str">
        <f aca="true">IF(H253="","",IF(I253&gt;=H253,"✅ Paid",IF(G253&lt;TODAY(),"🔴 Overdue",IF(G253&lt;=TODAY()+90,"🟡 Due Soon","⬜ Upcoming"))))</f>
        <v/>
      </c>
    </row>
    <row r="254" customFormat="false" ht="15" hidden="false" customHeight="false" outlineLevel="0" collapsed="false">
      <c r="A254" s="24" t="n">
        <v>252</v>
      </c>
      <c r="C254" s="26"/>
      <c r="D254" s="25" t="n">
        <f aca="false">IFERROR(INDEX('DATA ENTRY'!$S:$S,MATCH(C254,'DATA ENTRY'!$B:$B,0)),"")</f>
        <v>0</v>
      </c>
      <c r="E254" s="25" t="n">
        <f aca="false">IFERROR(INDEX('DATA ENTRY'!$C:$C,MATCH(C254,'DATA ENTRY'!$B:$B,0)),"")</f>
        <v>0</v>
      </c>
      <c r="F254" s="25" t="n">
        <f aca="false">IFERROR(INDEX('DATA ENTRY'!$E:$E,MATCH(C254,'DATA ENTRY'!$B:$B,0)),"")</f>
        <v>0</v>
      </c>
      <c r="G254" s="34"/>
      <c r="H254" s="35"/>
      <c r="I254" s="35"/>
      <c r="J254" s="34"/>
      <c r="K254" s="27" t="str">
        <f aca="false">IF(H254="","",MAX(0,H254-IF(I254="",0,I254)))</f>
        <v/>
      </c>
      <c r="L254" s="25" t="str">
        <f aca="true">IF(H254="","",IF(I254&gt;=H254,"✅ Paid",IF(G254&lt;TODAY(),"🔴 Overdue",IF(G254&lt;=TODAY()+90,"🟡 Due Soon","⬜ Upcoming"))))</f>
        <v/>
      </c>
    </row>
    <row r="255" customFormat="false" ht="15" hidden="false" customHeight="false" outlineLevel="0" collapsed="false">
      <c r="A255" s="24" t="n">
        <v>253</v>
      </c>
      <c r="C255" s="26"/>
      <c r="D255" s="25" t="n">
        <f aca="false">IFERROR(INDEX('DATA ENTRY'!$S:$S,MATCH(C255,'DATA ENTRY'!$B:$B,0)),"")</f>
        <v>0</v>
      </c>
      <c r="E255" s="25" t="n">
        <f aca="false">IFERROR(INDEX('DATA ENTRY'!$C:$C,MATCH(C255,'DATA ENTRY'!$B:$B,0)),"")</f>
        <v>0</v>
      </c>
      <c r="F255" s="25" t="n">
        <f aca="false">IFERROR(INDEX('DATA ENTRY'!$E:$E,MATCH(C255,'DATA ENTRY'!$B:$B,0)),"")</f>
        <v>0</v>
      </c>
      <c r="G255" s="34"/>
      <c r="H255" s="35"/>
      <c r="I255" s="35"/>
      <c r="J255" s="34"/>
      <c r="K255" s="27" t="str">
        <f aca="false">IF(H255="","",MAX(0,H255-IF(I255="",0,I255)))</f>
        <v/>
      </c>
      <c r="L255" s="25" t="str">
        <f aca="true">IF(H255="","",IF(I255&gt;=H255,"✅ Paid",IF(G255&lt;TODAY(),"🔴 Overdue",IF(G255&lt;=TODAY()+90,"🟡 Due Soon","⬜ Upcoming"))))</f>
        <v/>
      </c>
    </row>
    <row r="256" customFormat="false" ht="15" hidden="false" customHeight="false" outlineLevel="0" collapsed="false">
      <c r="A256" s="24" t="n">
        <v>254</v>
      </c>
      <c r="C256" s="26"/>
      <c r="D256" s="25" t="n">
        <f aca="false">IFERROR(INDEX('DATA ENTRY'!$S:$S,MATCH(C256,'DATA ENTRY'!$B:$B,0)),"")</f>
        <v>0</v>
      </c>
      <c r="E256" s="25" t="n">
        <f aca="false">IFERROR(INDEX('DATA ENTRY'!$C:$C,MATCH(C256,'DATA ENTRY'!$B:$B,0)),"")</f>
        <v>0</v>
      </c>
      <c r="F256" s="25" t="n">
        <f aca="false">IFERROR(INDEX('DATA ENTRY'!$E:$E,MATCH(C256,'DATA ENTRY'!$B:$B,0)),"")</f>
        <v>0</v>
      </c>
      <c r="G256" s="34"/>
      <c r="H256" s="35"/>
      <c r="I256" s="35"/>
      <c r="J256" s="34"/>
      <c r="K256" s="27" t="str">
        <f aca="false">IF(H256="","",MAX(0,H256-IF(I256="",0,I256)))</f>
        <v/>
      </c>
      <c r="L256" s="25" t="str">
        <f aca="true">IF(H256="","",IF(I256&gt;=H256,"✅ Paid",IF(G256&lt;TODAY(),"🔴 Overdue",IF(G256&lt;=TODAY()+90,"🟡 Due Soon","⬜ Upcoming"))))</f>
        <v/>
      </c>
    </row>
    <row r="257" customFormat="false" ht="15" hidden="false" customHeight="false" outlineLevel="0" collapsed="false">
      <c r="A257" s="24" t="n">
        <v>255</v>
      </c>
      <c r="C257" s="26"/>
      <c r="D257" s="25" t="n">
        <f aca="false">IFERROR(INDEX('DATA ENTRY'!$S:$S,MATCH(C257,'DATA ENTRY'!$B:$B,0)),"")</f>
        <v>0</v>
      </c>
      <c r="E257" s="25" t="n">
        <f aca="false">IFERROR(INDEX('DATA ENTRY'!$C:$C,MATCH(C257,'DATA ENTRY'!$B:$B,0)),"")</f>
        <v>0</v>
      </c>
      <c r="F257" s="25" t="n">
        <f aca="false">IFERROR(INDEX('DATA ENTRY'!$E:$E,MATCH(C257,'DATA ENTRY'!$B:$B,0)),"")</f>
        <v>0</v>
      </c>
      <c r="G257" s="34"/>
      <c r="H257" s="35"/>
      <c r="I257" s="35"/>
      <c r="J257" s="34"/>
      <c r="K257" s="27" t="str">
        <f aca="false">IF(H257="","",MAX(0,H257-IF(I257="",0,I257)))</f>
        <v/>
      </c>
      <c r="L257" s="25" t="str">
        <f aca="true">IF(H257="","",IF(I257&gt;=H257,"✅ Paid",IF(G257&lt;TODAY(),"🔴 Overdue",IF(G257&lt;=TODAY()+90,"🟡 Due Soon","⬜ Upcoming"))))</f>
        <v/>
      </c>
    </row>
    <row r="258" customFormat="false" ht="15" hidden="false" customHeight="false" outlineLevel="0" collapsed="false">
      <c r="A258" s="24" t="n">
        <v>256</v>
      </c>
      <c r="C258" s="26"/>
      <c r="D258" s="25" t="n">
        <f aca="false">IFERROR(INDEX('DATA ENTRY'!$S:$S,MATCH(C258,'DATA ENTRY'!$B:$B,0)),"")</f>
        <v>0</v>
      </c>
      <c r="E258" s="25" t="n">
        <f aca="false">IFERROR(INDEX('DATA ENTRY'!$C:$C,MATCH(C258,'DATA ENTRY'!$B:$B,0)),"")</f>
        <v>0</v>
      </c>
      <c r="F258" s="25" t="n">
        <f aca="false">IFERROR(INDEX('DATA ENTRY'!$E:$E,MATCH(C258,'DATA ENTRY'!$B:$B,0)),"")</f>
        <v>0</v>
      </c>
      <c r="G258" s="34"/>
      <c r="H258" s="35"/>
      <c r="I258" s="35"/>
      <c r="J258" s="34"/>
      <c r="K258" s="27" t="str">
        <f aca="false">IF(H258="","",MAX(0,H258-IF(I258="",0,I258)))</f>
        <v/>
      </c>
      <c r="L258" s="25" t="str">
        <f aca="true">IF(H258="","",IF(I258&gt;=H258,"✅ Paid",IF(G258&lt;TODAY(),"🔴 Overdue",IF(G258&lt;=TODAY()+90,"🟡 Due Soon","⬜ Upcoming"))))</f>
        <v/>
      </c>
    </row>
    <row r="259" customFormat="false" ht="15" hidden="false" customHeight="false" outlineLevel="0" collapsed="false">
      <c r="A259" s="24" t="n">
        <v>257</v>
      </c>
      <c r="C259" s="26"/>
      <c r="D259" s="25" t="n">
        <f aca="false">IFERROR(INDEX('DATA ENTRY'!$S:$S,MATCH(C259,'DATA ENTRY'!$B:$B,0)),"")</f>
        <v>0</v>
      </c>
      <c r="E259" s="25" t="n">
        <f aca="false">IFERROR(INDEX('DATA ENTRY'!$C:$C,MATCH(C259,'DATA ENTRY'!$B:$B,0)),"")</f>
        <v>0</v>
      </c>
      <c r="F259" s="25" t="n">
        <f aca="false">IFERROR(INDEX('DATA ENTRY'!$E:$E,MATCH(C259,'DATA ENTRY'!$B:$B,0)),"")</f>
        <v>0</v>
      </c>
      <c r="G259" s="34"/>
      <c r="H259" s="35"/>
      <c r="I259" s="35"/>
      <c r="J259" s="34"/>
      <c r="K259" s="27" t="str">
        <f aca="false">IF(H259="","",MAX(0,H259-IF(I259="",0,I259)))</f>
        <v/>
      </c>
      <c r="L259" s="25" t="str">
        <f aca="true">IF(H259="","",IF(I259&gt;=H259,"✅ Paid",IF(G259&lt;TODAY(),"🔴 Overdue",IF(G259&lt;=TODAY()+90,"🟡 Due Soon","⬜ Upcoming"))))</f>
        <v/>
      </c>
    </row>
    <row r="260" customFormat="false" ht="15" hidden="false" customHeight="false" outlineLevel="0" collapsed="false">
      <c r="A260" s="24" t="n">
        <v>258</v>
      </c>
      <c r="C260" s="26"/>
      <c r="D260" s="25" t="n">
        <f aca="false">IFERROR(INDEX('DATA ENTRY'!$S:$S,MATCH(C260,'DATA ENTRY'!$B:$B,0)),"")</f>
        <v>0</v>
      </c>
      <c r="E260" s="25" t="n">
        <f aca="false">IFERROR(INDEX('DATA ENTRY'!$C:$C,MATCH(C260,'DATA ENTRY'!$B:$B,0)),"")</f>
        <v>0</v>
      </c>
      <c r="F260" s="25" t="n">
        <f aca="false">IFERROR(INDEX('DATA ENTRY'!$E:$E,MATCH(C260,'DATA ENTRY'!$B:$B,0)),"")</f>
        <v>0</v>
      </c>
      <c r="G260" s="34"/>
      <c r="H260" s="35"/>
      <c r="I260" s="35"/>
      <c r="J260" s="34"/>
      <c r="K260" s="27" t="str">
        <f aca="false">IF(H260="","",MAX(0,H260-IF(I260="",0,I260)))</f>
        <v/>
      </c>
      <c r="L260" s="25" t="str">
        <f aca="true">IF(H260="","",IF(I260&gt;=H260,"✅ Paid",IF(G260&lt;TODAY(),"🔴 Overdue",IF(G260&lt;=TODAY()+90,"🟡 Due Soon","⬜ Upcoming"))))</f>
        <v/>
      </c>
    </row>
    <row r="261" customFormat="false" ht="15" hidden="false" customHeight="false" outlineLevel="0" collapsed="false">
      <c r="A261" s="24" t="n">
        <v>259</v>
      </c>
      <c r="C261" s="26"/>
      <c r="D261" s="25" t="n">
        <f aca="false">IFERROR(INDEX('DATA ENTRY'!$S:$S,MATCH(C261,'DATA ENTRY'!$B:$B,0)),"")</f>
        <v>0</v>
      </c>
      <c r="E261" s="25" t="n">
        <f aca="false">IFERROR(INDEX('DATA ENTRY'!$C:$C,MATCH(C261,'DATA ENTRY'!$B:$B,0)),"")</f>
        <v>0</v>
      </c>
      <c r="F261" s="25" t="n">
        <f aca="false">IFERROR(INDEX('DATA ENTRY'!$E:$E,MATCH(C261,'DATA ENTRY'!$B:$B,0)),"")</f>
        <v>0</v>
      </c>
      <c r="G261" s="34"/>
      <c r="H261" s="35"/>
      <c r="I261" s="35"/>
      <c r="J261" s="34"/>
      <c r="K261" s="27" t="str">
        <f aca="false">IF(H261="","",MAX(0,H261-IF(I261="",0,I261)))</f>
        <v/>
      </c>
      <c r="L261" s="25" t="str">
        <f aca="true">IF(H261="","",IF(I261&gt;=H261,"✅ Paid",IF(G261&lt;TODAY(),"🔴 Overdue",IF(G261&lt;=TODAY()+90,"🟡 Due Soon","⬜ Upcoming"))))</f>
        <v/>
      </c>
    </row>
    <row r="262" customFormat="false" ht="15" hidden="false" customHeight="false" outlineLevel="0" collapsed="false">
      <c r="A262" s="24" t="n">
        <v>260</v>
      </c>
      <c r="C262" s="26"/>
      <c r="D262" s="25" t="n">
        <f aca="false">IFERROR(INDEX('DATA ENTRY'!$S:$S,MATCH(C262,'DATA ENTRY'!$B:$B,0)),"")</f>
        <v>0</v>
      </c>
      <c r="E262" s="25" t="n">
        <f aca="false">IFERROR(INDEX('DATA ENTRY'!$C:$C,MATCH(C262,'DATA ENTRY'!$B:$B,0)),"")</f>
        <v>0</v>
      </c>
      <c r="F262" s="25" t="n">
        <f aca="false">IFERROR(INDEX('DATA ENTRY'!$E:$E,MATCH(C262,'DATA ENTRY'!$B:$B,0)),"")</f>
        <v>0</v>
      </c>
      <c r="G262" s="34"/>
      <c r="H262" s="35"/>
      <c r="I262" s="35"/>
      <c r="J262" s="34"/>
      <c r="K262" s="27" t="str">
        <f aca="false">IF(H262="","",MAX(0,H262-IF(I262="",0,I262)))</f>
        <v/>
      </c>
      <c r="L262" s="25" t="str">
        <f aca="true">IF(H262="","",IF(I262&gt;=H262,"✅ Paid",IF(G262&lt;TODAY(),"🔴 Overdue",IF(G262&lt;=TODAY()+90,"🟡 Due Soon","⬜ Upcoming"))))</f>
        <v/>
      </c>
    </row>
    <row r="263" customFormat="false" ht="15" hidden="false" customHeight="false" outlineLevel="0" collapsed="false">
      <c r="A263" s="24" t="n">
        <v>261</v>
      </c>
      <c r="C263" s="26"/>
      <c r="D263" s="25" t="n">
        <f aca="false">IFERROR(INDEX('DATA ENTRY'!$S:$S,MATCH(C263,'DATA ENTRY'!$B:$B,0)),"")</f>
        <v>0</v>
      </c>
      <c r="E263" s="25" t="n">
        <f aca="false">IFERROR(INDEX('DATA ENTRY'!$C:$C,MATCH(C263,'DATA ENTRY'!$B:$B,0)),"")</f>
        <v>0</v>
      </c>
      <c r="F263" s="25" t="n">
        <f aca="false">IFERROR(INDEX('DATA ENTRY'!$E:$E,MATCH(C263,'DATA ENTRY'!$B:$B,0)),"")</f>
        <v>0</v>
      </c>
      <c r="G263" s="34"/>
      <c r="H263" s="35"/>
      <c r="I263" s="35"/>
      <c r="J263" s="34"/>
      <c r="K263" s="27" t="str">
        <f aca="false">IF(H263="","",MAX(0,H263-IF(I263="",0,I263)))</f>
        <v/>
      </c>
      <c r="L263" s="25" t="str">
        <f aca="true">IF(H263="","",IF(I263&gt;=H263,"✅ Paid",IF(G263&lt;TODAY(),"🔴 Overdue",IF(G263&lt;=TODAY()+90,"🟡 Due Soon","⬜ Upcoming"))))</f>
        <v/>
      </c>
    </row>
    <row r="264" customFormat="false" ht="15" hidden="false" customHeight="false" outlineLevel="0" collapsed="false">
      <c r="A264" s="24" t="n">
        <v>262</v>
      </c>
      <c r="C264" s="26"/>
      <c r="D264" s="25" t="n">
        <f aca="false">IFERROR(INDEX('DATA ENTRY'!$S:$S,MATCH(C264,'DATA ENTRY'!$B:$B,0)),"")</f>
        <v>0</v>
      </c>
      <c r="E264" s="25" t="n">
        <f aca="false">IFERROR(INDEX('DATA ENTRY'!$C:$C,MATCH(C264,'DATA ENTRY'!$B:$B,0)),"")</f>
        <v>0</v>
      </c>
      <c r="F264" s="25" t="n">
        <f aca="false">IFERROR(INDEX('DATA ENTRY'!$E:$E,MATCH(C264,'DATA ENTRY'!$B:$B,0)),"")</f>
        <v>0</v>
      </c>
      <c r="G264" s="34"/>
      <c r="H264" s="35"/>
      <c r="I264" s="35"/>
      <c r="J264" s="34"/>
      <c r="K264" s="27" t="str">
        <f aca="false">IF(H264="","",MAX(0,H264-IF(I264="",0,I264)))</f>
        <v/>
      </c>
      <c r="L264" s="25" t="str">
        <f aca="true">IF(H264="","",IF(I264&gt;=H264,"✅ Paid",IF(G264&lt;TODAY(),"🔴 Overdue",IF(G264&lt;=TODAY()+90,"🟡 Due Soon","⬜ Upcoming"))))</f>
        <v/>
      </c>
    </row>
    <row r="265" customFormat="false" ht="15" hidden="false" customHeight="false" outlineLevel="0" collapsed="false">
      <c r="A265" s="24" t="n">
        <v>263</v>
      </c>
      <c r="C265" s="26"/>
      <c r="D265" s="25" t="n">
        <f aca="false">IFERROR(INDEX('DATA ENTRY'!$S:$S,MATCH(C265,'DATA ENTRY'!$B:$B,0)),"")</f>
        <v>0</v>
      </c>
      <c r="E265" s="25" t="n">
        <f aca="false">IFERROR(INDEX('DATA ENTRY'!$C:$C,MATCH(C265,'DATA ENTRY'!$B:$B,0)),"")</f>
        <v>0</v>
      </c>
      <c r="F265" s="25" t="n">
        <f aca="false">IFERROR(INDEX('DATA ENTRY'!$E:$E,MATCH(C265,'DATA ENTRY'!$B:$B,0)),"")</f>
        <v>0</v>
      </c>
      <c r="G265" s="34"/>
      <c r="H265" s="35"/>
      <c r="I265" s="35"/>
      <c r="J265" s="34"/>
      <c r="K265" s="27" t="str">
        <f aca="false">IF(H265="","",MAX(0,H265-IF(I265="",0,I265)))</f>
        <v/>
      </c>
      <c r="L265" s="25" t="str">
        <f aca="true">IF(H265="","",IF(I265&gt;=H265,"✅ Paid",IF(G265&lt;TODAY(),"🔴 Overdue",IF(G265&lt;=TODAY()+90,"🟡 Due Soon","⬜ Upcoming"))))</f>
        <v/>
      </c>
    </row>
    <row r="266" customFormat="false" ht="15" hidden="false" customHeight="false" outlineLevel="0" collapsed="false">
      <c r="A266" s="24" t="n">
        <v>264</v>
      </c>
      <c r="C266" s="26"/>
      <c r="D266" s="25" t="n">
        <f aca="false">IFERROR(INDEX('DATA ENTRY'!$S:$S,MATCH(C266,'DATA ENTRY'!$B:$B,0)),"")</f>
        <v>0</v>
      </c>
      <c r="E266" s="25" t="n">
        <f aca="false">IFERROR(INDEX('DATA ENTRY'!$C:$C,MATCH(C266,'DATA ENTRY'!$B:$B,0)),"")</f>
        <v>0</v>
      </c>
      <c r="F266" s="25" t="n">
        <f aca="false">IFERROR(INDEX('DATA ENTRY'!$E:$E,MATCH(C266,'DATA ENTRY'!$B:$B,0)),"")</f>
        <v>0</v>
      </c>
      <c r="G266" s="34"/>
      <c r="H266" s="35"/>
      <c r="I266" s="35"/>
      <c r="J266" s="34"/>
      <c r="K266" s="27" t="str">
        <f aca="false">IF(H266="","",MAX(0,H266-IF(I266="",0,I266)))</f>
        <v/>
      </c>
      <c r="L266" s="25" t="str">
        <f aca="true">IF(H266="","",IF(I266&gt;=H266,"✅ Paid",IF(G266&lt;TODAY(),"🔴 Overdue",IF(G266&lt;=TODAY()+90,"🟡 Due Soon","⬜ Upcoming"))))</f>
        <v/>
      </c>
    </row>
    <row r="267" customFormat="false" ht="15" hidden="false" customHeight="false" outlineLevel="0" collapsed="false">
      <c r="A267" s="24" t="n">
        <v>265</v>
      </c>
      <c r="C267" s="26"/>
      <c r="D267" s="25" t="n">
        <f aca="false">IFERROR(INDEX('DATA ENTRY'!$S:$S,MATCH(C267,'DATA ENTRY'!$B:$B,0)),"")</f>
        <v>0</v>
      </c>
      <c r="E267" s="25" t="n">
        <f aca="false">IFERROR(INDEX('DATA ENTRY'!$C:$C,MATCH(C267,'DATA ENTRY'!$B:$B,0)),"")</f>
        <v>0</v>
      </c>
      <c r="F267" s="25" t="n">
        <f aca="false">IFERROR(INDEX('DATA ENTRY'!$E:$E,MATCH(C267,'DATA ENTRY'!$B:$B,0)),"")</f>
        <v>0</v>
      </c>
      <c r="G267" s="34"/>
      <c r="H267" s="35"/>
      <c r="I267" s="35"/>
      <c r="J267" s="34"/>
      <c r="K267" s="27" t="str">
        <f aca="false">IF(H267="","",MAX(0,H267-IF(I267="",0,I267)))</f>
        <v/>
      </c>
      <c r="L267" s="25" t="str">
        <f aca="true">IF(H267="","",IF(I267&gt;=H267,"✅ Paid",IF(G267&lt;TODAY(),"🔴 Overdue",IF(G267&lt;=TODAY()+90,"🟡 Due Soon","⬜ Upcoming"))))</f>
        <v/>
      </c>
    </row>
    <row r="268" customFormat="false" ht="15" hidden="false" customHeight="false" outlineLevel="0" collapsed="false">
      <c r="A268" s="24" t="n">
        <v>266</v>
      </c>
      <c r="C268" s="26"/>
      <c r="D268" s="25" t="n">
        <f aca="false">IFERROR(INDEX('DATA ENTRY'!$S:$S,MATCH(C268,'DATA ENTRY'!$B:$B,0)),"")</f>
        <v>0</v>
      </c>
      <c r="E268" s="25" t="n">
        <f aca="false">IFERROR(INDEX('DATA ENTRY'!$C:$C,MATCH(C268,'DATA ENTRY'!$B:$B,0)),"")</f>
        <v>0</v>
      </c>
      <c r="F268" s="25" t="n">
        <f aca="false">IFERROR(INDEX('DATA ENTRY'!$E:$E,MATCH(C268,'DATA ENTRY'!$B:$B,0)),"")</f>
        <v>0</v>
      </c>
      <c r="G268" s="34"/>
      <c r="H268" s="35"/>
      <c r="I268" s="35"/>
      <c r="J268" s="34"/>
      <c r="K268" s="27" t="str">
        <f aca="false">IF(H268="","",MAX(0,H268-IF(I268="",0,I268)))</f>
        <v/>
      </c>
      <c r="L268" s="25" t="str">
        <f aca="true">IF(H268="","",IF(I268&gt;=H268,"✅ Paid",IF(G268&lt;TODAY(),"🔴 Overdue",IF(G268&lt;=TODAY()+90,"🟡 Due Soon","⬜ Upcoming"))))</f>
        <v/>
      </c>
    </row>
    <row r="269" customFormat="false" ht="15" hidden="false" customHeight="false" outlineLevel="0" collapsed="false">
      <c r="A269" s="24" t="n">
        <v>267</v>
      </c>
      <c r="C269" s="26"/>
      <c r="D269" s="25" t="n">
        <f aca="false">IFERROR(INDEX('DATA ENTRY'!$S:$S,MATCH(C269,'DATA ENTRY'!$B:$B,0)),"")</f>
        <v>0</v>
      </c>
      <c r="E269" s="25" t="n">
        <f aca="false">IFERROR(INDEX('DATA ENTRY'!$C:$C,MATCH(C269,'DATA ENTRY'!$B:$B,0)),"")</f>
        <v>0</v>
      </c>
      <c r="F269" s="25" t="n">
        <f aca="false">IFERROR(INDEX('DATA ENTRY'!$E:$E,MATCH(C269,'DATA ENTRY'!$B:$B,0)),"")</f>
        <v>0</v>
      </c>
      <c r="G269" s="34"/>
      <c r="H269" s="35"/>
      <c r="I269" s="35"/>
      <c r="J269" s="34"/>
      <c r="K269" s="27" t="str">
        <f aca="false">IF(H269="","",MAX(0,H269-IF(I269="",0,I269)))</f>
        <v/>
      </c>
      <c r="L269" s="25" t="str">
        <f aca="true">IF(H269="","",IF(I269&gt;=H269,"✅ Paid",IF(G269&lt;TODAY(),"🔴 Overdue",IF(G269&lt;=TODAY()+90,"🟡 Due Soon","⬜ Upcoming"))))</f>
        <v/>
      </c>
    </row>
    <row r="270" customFormat="false" ht="15" hidden="false" customHeight="false" outlineLevel="0" collapsed="false">
      <c r="A270" s="24" t="n">
        <v>268</v>
      </c>
      <c r="C270" s="26"/>
      <c r="D270" s="25" t="n">
        <f aca="false">IFERROR(INDEX('DATA ENTRY'!$S:$S,MATCH(C270,'DATA ENTRY'!$B:$B,0)),"")</f>
        <v>0</v>
      </c>
      <c r="E270" s="25" t="n">
        <f aca="false">IFERROR(INDEX('DATA ENTRY'!$C:$C,MATCH(C270,'DATA ENTRY'!$B:$B,0)),"")</f>
        <v>0</v>
      </c>
      <c r="F270" s="25" t="n">
        <f aca="false">IFERROR(INDEX('DATA ENTRY'!$E:$E,MATCH(C270,'DATA ENTRY'!$B:$B,0)),"")</f>
        <v>0</v>
      </c>
      <c r="G270" s="34"/>
      <c r="H270" s="35"/>
      <c r="I270" s="35"/>
      <c r="J270" s="34"/>
      <c r="K270" s="27" t="str">
        <f aca="false">IF(H270="","",MAX(0,H270-IF(I270="",0,I270)))</f>
        <v/>
      </c>
      <c r="L270" s="25" t="str">
        <f aca="true">IF(H270="","",IF(I270&gt;=H270,"✅ Paid",IF(G270&lt;TODAY(),"🔴 Overdue",IF(G270&lt;=TODAY()+90,"🟡 Due Soon","⬜ Upcoming"))))</f>
        <v/>
      </c>
    </row>
    <row r="271" customFormat="false" ht="15" hidden="false" customHeight="false" outlineLevel="0" collapsed="false">
      <c r="A271" s="24" t="n">
        <v>269</v>
      </c>
      <c r="C271" s="26"/>
      <c r="D271" s="25" t="n">
        <f aca="false">IFERROR(INDEX('DATA ENTRY'!$S:$S,MATCH(C271,'DATA ENTRY'!$B:$B,0)),"")</f>
        <v>0</v>
      </c>
      <c r="E271" s="25" t="n">
        <f aca="false">IFERROR(INDEX('DATA ENTRY'!$C:$C,MATCH(C271,'DATA ENTRY'!$B:$B,0)),"")</f>
        <v>0</v>
      </c>
      <c r="F271" s="25" t="n">
        <f aca="false">IFERROR(INDEX('DATA ENTRY'!$E:$E,MATCH(C271,'DATA ENTRY'!$B:$B,0)),"")</f>
        <v>0</v>
      </c>
      <c r="G271" s="34"/>
      <c r="H271" s="35"/>
      <c r="I271" s="35"/>
      <c r="J271" s="34"/>
      <c r="K271" s="27" t="str">
        <f aca="false">IF(H271="","",MAX(0,H271-IF(I271="",0,I271)))</f>
        <v/>
      </c>
      <c r="L271" s="25" t="str">
        <f aca="true">IF(H271="","",IF(I271&gt;=H271,"✅ Paid",IF(G271&lt;TODAY(),"🔴 Overdue",IF(G271&lt;=TODAY()+90,"🟡 Due Soon","⬜ Upcoming"))))</f>
        <v/>
      </c>
    </row>
    <row r="272" customFormat="false" ht="15" hidden="false" customHeight="false" outlineLevel="0" collapsed="false">
      <c r="A272" s="24" t="n">
        <v>270</v>
      </c>
      <c r="C272" s="26"/>
      <c r="D272" s="25" t="n">
        <f aca="false">IFERROR(INDEX('DATA ENTRY'!$S:$S,MATCH(C272,'DATA ENTRY'!$B:$B,0)),"")</f>
        <v>0</v>
      </c>
      <c r="E272" s="25" t="n">
        <f aca="false">IFERROR(INDEX('DATA ENTRY'!$C:$C,MATCH(C272,'DATA ENTRY'!$B:$B,0)),"")</f>
        <v>0</v>
      </c>
      <c r="F272" s="25" t="n">
        <f aca="false">IFERROR(INDEX('DATA ENTRY'!$E:$E,MATCH(C272,'DATA ENTRY'!$B:$B,0)),"")</f>
        <v>0</v>
      </c>
      <c r="G272" s="34"/>
      <c r="H272" s="35"/>
      <c r="I272" s="35"/>
      <c r="J272" s="34"/>
      <c r="K272" s="27" t="str">
        <f aca="false">IF(H272="","",MAX(0,H272-IF(I272="",0,I272)))</f>
        <v/>
      </c>
      <c r="L272" s="25" t="str">
        <f aca="true">IF(H272="","",IF(I272&gt;=H272,"✅ Paid",IF(G272&lt;TODAY(),"🔴 Overdue",IF(G272&lt;=TODAY()+90,"🟡 Due Soon","⬜ Upcoming"))))</f>
        <v/>
      </c>
    </row>
    <row r="273" customFormat="false" ht="15" hidden="false" customHeight="false" outlineLevel="0" collapsed="false">
      <c r="A273" s="24" t="n">
        <v>271</v>
      </c>
      <c r="C273" s="26"/>
      <c r="D273" s="25" t="n">
        <f aca="false">IFERROR(INDEX('DATA ENTRY'!$S:$S,MATCH(C273,'DATA ENTRY'!$B:$B,0)),"")</f>
        <v>0</v>
      </c>
      <c r="E273" s="25" t="n">
        <f aca="false">IFERROR(INDEX('DATA ENTRY'!$C:$C,MATCH(C273,'DATA ENTRY'!$B:$B,0)),"")</f>
        <v>0</v>
      </c>
      <c r="F273" s="25" t="n">
        <f aca="false">IFERROR(INDEX('DATA ENTRY'!$E:$E,MATCH(C273,'DATA ENTRY'!$B:$B,0)),"")</f>
        <v>0</v>
      </c>
      <c r="G273" s="34"/>
      <c r="H273" s="35"/>
      <c r="I273" s="35"/>
      <c r="J273" s="34"/>
      <c r="K273" s="27" t="str">
        <f aca="false">IF(H273="","",MAX(0,H273-IF(I273="",0,I273)))</f>
        <v/>
      </c>
      <c r="L273" s="25" t="str">
        <f aca="true">IF(H273="","",IF(I273&gt;=H273,"✅ Paid",IF(G273&lt;TODAY(),"🔴 Overdue",IF(G273&lt;=TODAY()+90,"🟡 Due Soon","⬜ Upcoming"))))</f>
        <v/>
      </c>
    </row>
    <row r="274" customFormat="false" ht="15" hidden="false" customHeight="false" outlineLevel="0" collapsed="false">
      <c r="A274" s="24" t="n">
        <v>272</v>
      </c>
      <c r="C274" s="26"/>
      <c r="D274" s="25" t="n">
        <f aca="false">IFERROR(INDEX('DATA ENTRY'!$S:$S,MATCH(C274,'DATA ENTRY'!$B:$B,0)),"")</f>
        <v>0</v>
      </c>
      <c r="E274" s="25" t="n">
        <f aca="false">IFERROR(INDEX('DATA ENTRY'!$C:$C,MATCH(C274,'DATA ENTRY'!$B:$B,0)),"")</f>
        <v>0</v>
      </c>
      <c r="F274" s="25" t="n">
        <f aca="false">IFERROR(INDEX('DATA ENTRY'!$E:$E,MATCH(C274,'DATA ENTRY'!$B:$B,0)),"")</f>
        <v>0</v>
      </c>
      <c r="G274" s="34"/>
      <c r="H274" s="35"/>
      <c r="I274" s="35"/>
      <c r="J274" s="34"/>
      <c r="K274" s="27" t="str">
        <f aca="false">IF(H274="","",MAX(0,H274-IF(I274="",0,I274)))</f>
        <v/>
      </c>
      <c r="L274" s="25" t="str">
        <f aca="true">IF(H274="","",IF(I274&gt;=H274,"✅ Paid",IF(G274&lt;TODAY(),"🔴 Overdue",IF(G274&lt;=TODAY()+90,"🟡 Due Soon","⬜ Upcoming"))))</f>
        <v/>
      </c>
    </row>
    <row r="275" customFormat="false" ht="15" hidden="false" customHeight="false" outlineLevel="0" collapsed="false">
      <c r="A275" s="24" t="n">
        <v>273</v>
      </c>
      <c r="C275" s="26"/>
      <c r="D275" s="25" t="n">
        <f aca="false">IFERROR(INDEX('DATA ENTRY'!$S:$S,MATCH(C275,'DATA ENTRY'!$B:$B,0)),"")</f>
        <v>0</v>
      </c>
      <c r="E275" s="25" t="n">
        <f aca="false">IFERROR(INDEX('DATA ENTRY'!$C:$C,MATCH(C275,'DATA ENTRY'!$B:$B,0)),"")</f>
        <v>0</v>
      </c>
      <c r="F275" s="25" t="n">
        <f aca="false">IFERROR(INDEX('DATA ENTRY'!$E:$E,MATCH(C275,'DATA ENTRY'!$B:$B,0)),"")</f>
        <v>0</v>
      </c>
      <c r="G275" s="34"/>
      <c r="H275" s="35"/>
      <c r="I275" s="35"/>
      <c r="J275" s="34"/>
      <c r="K275" s="27" t="str">
        <f aca="false">IF(H275="","",MAX(0,H275-IF(I275="",0,I275)))</f>
        <v/>
      </c>
      <c r="L275" s="25" t="str">
        <f aca="true">IF(H275="","",IF(I275&gt;=H275,"✅ Paid",IF(G275&lt;TODAY(),"🔴 Overdue",IF(G275&lt;=TODAY()+90,"🟡 Due Soon","⬜ Upcoming"))))</f>
        <v/>
      </c>
    </row>
    <row r="276" customFormat="false" ht="15" hidden="false" customHeight="false" outlineLevel="0" collapsed="false">
      <c r="A276" s="24" t="n">
        <v>274</v>
      </c>
      <c r="C276" s="26"/>
      <c r="D276" s="25" t="n">
        <f aca="false">IFERROR(INDEX('DATA ENTRY'!$S:$S,MATCH(C276,'DATA ENTRY'!$B:$B,0)),"")</f>
        <v>0</v>
      </c>
      <c r="E276" s="25" t="n">
        <f aca="false">IFERROR(INDEX('DATA ENTRY'!$C:$C,MATCH(C276,'DATA ENTRY'!$B:$B,0)),"")</f>
        <v>0</v>
      </c>
      <c r="F276" s="25" t="n">
        <f aca="false">IFERROR(INDEX('DATA ENTRY'!$E:$E,MATCH(C276,'DATA ENTRY'!$B:$B,0)),"")</f>
        <v>0</v>
      </c>
      <c r="G276" s="34"/>
      <c r="H276" s="35"/>
      <c r="I276" s="35"/>
      <c r="J276" s="34"/>
      <c r="K276" s="27" t="str">
        <f aca="false">IF(H276="","",MAX(0,H276-IF(I276="",0,I276)))</f>
        <v/>
      </c>
      <c r="L276" s="25" t="str">
        <f aca="true">IF(H276="","",IF(I276&gt;=H276,"✅ Paid",IF(G276&lt;TODAY(),"🔴 Overdue",IF(G276&lt;=TODAY()+90,"🟡 Due Soon","⬜ Upcoming"))))</f>
        <v/>
      </c>
    </row>
    <row r="277" customFormat="false" ht="15" hidden="false" customHeight="false" outlineLevel="0" collapsed="false">
      <c r="A277" s="24" t="n">
        <v>275</v>
      </c>
      <c r="C277" s="26"/>
      <c r="D277" s="25" t="n">
        <f aca="false">IFERROR(INDEX('DATA ENTRY'!$S:$S,MATCH(C277,'DATA ENTRY'!$B:$B,0)),"")</f>
        <v>0</v>
      </c>
      <c r="E277" s="25" t="n">
        <f aca="false">IFERROR(INDEX('DATA ENTRY'!$C:$C,MATCH(C277,'DATA ENTRY'!$B:$B,0)),"")</f>
        <v>0</v>
      </c>
      <c r="F277" s="25" t="n">
        <f aca="false">IFERROR(INDEX('DATA ENTRY'!$E:$E,MATCH(C277,'DATA ENTRY'!$B:$B,0)),"")</f>
        <v>0</v>
      </c>
      <c r="G277" s="34"/>
      <c r="H277" s="35"/>
      <c r="I277" s="35"/>
      <c r="J277" s="34"/>
      <c r="K277" s="27" t="str">
        <f aca="false">IF(H277="","",MAX(0,H277-IF(I277="",0,I277)))</f>
        <v/>
      </c>
      <c r="L277" s="25" t="str">
        <f aca="true">IF(H277="","",IF(I277&gt;=H277,"✅ Paid",IF(G277&lt;TODAY(),"🔴 Overdue",IF(G277&lt;=TODAY()+90,"🟡 Due Soon","⬜ Upcoming"))))</f>
        <v/>
      </c>
    </row>
    <row r="278" customFormat="false" ht="15" hidden="false" customHeight="false" outlineLevel="0" collapsed="false">
      <c r="A278" s="24" t="n">
        <v>276</v>
      </c>
      <c r="C278" s="26"/>
      <c r="D278" s="25" t="n">
        <f aca="false">IFERROR(INDEX('DATA ENTRY'!$S:$S,MATCH(C278,'DATA ENTRY'!$B:$B,0)),"")</f>
        <v>0</v>
      </c>
      <c r="E278" s="25" t="n">
        <f aca="false">IFERROR(INDEX('DATA ENTRY'!$C:$C,MATCH(C278,'DATA ENTRY'!$B:$B,0)),"")</f>
        <v>0</v>
      </c>
      <c r="F278" s="25" t="n">
        <f aca="false">IFERROR(INDEX('DATA ENTRY'!$E:$E,MATCH(C278,'DATA ENTRY'!$B:$B,0)),"")</f>
        <v>0</v>
      </c>
      <c r="G278" s="34"/>
      <c r="H278" s="35"/>
      <c r="I278" s="35"/>
      <c r="J278" s="34"/>
      <c r="K278" s="27" t="str">
        <f aca="false">IF(H278="","",MAX(0,H278-IF(I278="",0,I278)))</f>
        <v/>
      </c>
      <c r="L278" s="25" t="str">
        <f aca="true">IF(H278="","",IF(I278&gt;=H278,"✅ Paid",IF(G278&lt;TODAY(),"🔴 Overdue",IF(G278&lt;=TODAY()+90,"🟡 Due Soon","⬜ Upcoming"))))</f>
        <v/>
      </c>
    </row>
    <row r="279" customFormat="false" ht="15" hidden="false" customHeight="false" outlineLevel="0" collapsed="false">
      <c r="A279" s="24" t="n">
        <v>277</v>
      </c>
      <c r="C279" s="26"/>
      <c r="D279" s="25" t="n">
        <f aca="false">IFERROR(INDEX('DATA ENTRY'!$S:$S,MATCH(C279,'DATA ENTRY'!$B:$B,0)),"")</f>
        <v>0</v>
      </c>
      <c r="E279" s="25" t="n">
        <f aca="false">IFERROR(INDEX('DATA ENTRY'!$C:$C,MATCH(C279,'DATA ENTRY'!$B:$B,0)),"")</f>
        <v>0</v>
      </c>
      <c r="F279" s="25" t="n">
        <f aca="false">IFERROR(INDEX('DATA ENTRY'!$E:$E,MATCH(C279,'DATA ENTRY'!$B:$B,0)),"")</f>
        <v>0</v>
      </c>
      <c r="G279" s="34"/>
      <c r="H279" s="35"/>
      <c r="I279" s="35"/>
      <c r="J279" s="34"/>
      <c r="K279" s="27" t="str">
        <f aca="false">IF(H279="","",MAX(0,H279-IF(I279="",0,I279)))</f>
        <v/>
      </c>
      <c r="L279" s="25" t="str">
        <f aca="true">IF(H279="","",IF(I279&gt;=H279,"✅ Paid",IF(G279&lt;TODAY(),"🔴 Overdue",IF(G279&lt;=TODAY()+90,"🟡 Due Soon","⬜ Upcoming"))))</f>
        <v/>
      </c>
    </row>
    <row r="280" customFormat="false" ht="15" hidden="false" customHeight="false" outlineLevel="0" collapsed="false">
      <c r="A280" s="24" t="n">
        <v>278</v>
      </c>
      <c r="C280" s="26"/>
      <c r="D280" s="25" t="n">
        <f aca="false">IFERROR(INDEX('DATA ENTRY'!$S:$S,MATCH(C280,'DATA ENTRY'!$B:$B,0)),"")</f>
        <v>0</v>
      </c>
      <c r="E280" s="25" t="n">
        <f aca="false">IFERROR(INDEX('DATA ENTRY'!$C:$C,MATCH(C280,'DATA ENTRY'!$B:$B,0)),"")</f>
        <v>0</v>
      </c>
      <c r="F280" s="25" t="n">
        <f aca="false">IFERROR(INDEX('DATA ENTRY'!$E:$E,MATCH(C280,'DATA ENTRY'!$B:$B,0)),"")</f>
        <v>0</v>
      </c>
      <c r="G280" s="34"/>
      <c r="H280" s="35"/>
      <c r="I280" s="35"/>
      <c r="J280" s="34"/>
      <c r="K280" s="27" t="str">
        <f aca="false">IF(H280="","",MAX(0,H280-IF(I280="",0,I280)))</f>
        <v/>
      </c>
      <c r="L280" s="25" t="str">
        <f aca="true">IF(H280="","",IF(I280&gt;=H280,"✅ Paid",IF(G280&lt;TODAY(),"🔴 Overdue",IF(G280&lt;=TODAY()+90,"🟡 Due Soon","⬜ Upcoming"))))</f>
        <v/>
      </c>
    </row>
    <row r="281" customFormat="false" ht="15" hidden="false" customHeight="false" outlineLevel="0" collapsed="false">
      <c r="A281" s="24" t="n">
        <v>279</v>
      </c>
      <c r="C281" s="26"/>
      <c r="D281" s="25" t="n">
        <f aca="false">IFERROR(INDEX('DATA ENTRY'!$S:$S,MATCH(C281,'DATA ENTRY'!$B:$B,0)),"")</f>
        <v>0</v>
      </c>
      <c r="E281" s="25" t="n">
        <f aca="false">IFERROR(INDEX('DATA ENTRY'!$C:$C,MATCH(C281,'DATA ENTRY'!$B:$B,0)),"")</f>
        <v>0</v>
      </c>
      <c r="F281" s="25" t="n">
        <f aca="false">IFERROR(INDEX('DATA ENTRY'!$E:$E,MATCH(C281,'DATA ENTRY'!$B:$B,0)),"")</f>
        <v>0</v>
      </c>
      <c r="G281" s="34"/>
      <c r="H281" s="35"/>
      <c r="I281" s="35"/>
      <c r="J281" s="34"/>
      <c r="K281" s="27" t="str">
        <f aca="false">IF(H281="","",MAX(0,H281-IF(I281="",0,I281)))</f>
        <v/>
      </c>
      <c r="L281" s="25" t="str">
        <f aca="true">IF(H281="","",IF(I281&gt;=H281,"✅ Paid",IF(G281&lt;TODAY(),"🔴 Overdue",IF(G281&lt;=TODAY()+90,"🟡 Due Soon","⬜ Upcoming"))))</f>
        <v/>
      </c>
    </row>
    <row r="282" customFormat="false" ht="15" hidden="false" customHeight="false" outlineLevel="0" collapsed="false">
      <c r="A282" s="24" t="n">
        <v>280</v>
      </c>
      <c r="C282" s="26"/>
      <c r="D282" s="25" t="n">
        <f aca="false">IFERROR(INDEX('DATA ENTRY'!$S:$S,MATCH(C282,'DATA ENTRY'!$B:$B,0)),"")</f>
        <v>0</v>
      </c>
      <c r="E282" s="25" t="n">
        <f aca="false">IFERROR(INDEX('DATA ENTRY'!$C:$C,MATCH(C282,'DATA ENTRY'!$B:$B,0)),"")</f>
        <v>0</v>
      </c>
      <c r="F282" s="25" t="n">
        <f aca="false">IFERROR(INDEX('DATA ENTRY'!$E:$E,MATCH(C282,'DATA ENTRY'!$B:$B,0)),"")</f>
        <v>0</v>
      </c>
      <c r="G282" s="34"/>
      <c r="H282" s="35"/>
      <c r="I282" s="35"/>
      <c r="J282" s="34"/>
      <c r="K282" s="27" t="str">
        <f aca="false">IF(H282="","",MAX(0,H282-IF(I282="",0,I282)))</f>
        <v/>
      </c>
      <c r="L282" s="25" t="str">
        <f aca="true">IF(H282="","",IF(I282&gt;=H282,"✅ Paid",IF(G282&lt;TODAY(),"🔴 Overdue",IF(G282&lt;=TODAY()+90,"🟡 Due Soon","⬜ Upcoming"))))</f>
        <v/>
      </c>
    </row>
    <row r="283" customFormat="false" ht="15" hidden="false" customHeight="false" outlineLevel="0" collapsed="false">
      <c r="A283" s="24" t="n">
        <v>281</v>
      </c>
      <c r="C283" s="26"/>
      <c r="D283" s="25" t="n">
        <f aca="false">IFERROR(INDEX('DATA ENTRY'!$S:$S,MATCH(C283,'DATA ENTRY'!$B:$B,0)),"")</f>
        <v>0</v>
      </c>
      <c r="E283" s="25" t="n">
        <f aca="false">IFERROR(INDEX('DATA ENTRY'!$C:$C,MATCH(C283,'DATA ENTRY'!$B:$B,0)),"")</f>
        <v>0</v>
      </c>
      <c r="F283" s="25" t="n">
        <f aca="false">IFERROR(INDEX('DATA ENTRY'!$E:$E,MATCH(C283,'DATA ENTRY'!$B:$B,0)),"")</f>
        <v>0</v>
      </c>
      <c r="G283" s="34"/>
      <c r="H283" s="35"/>
      <c r="I283" s="35"/>
      <c r="J283" s="34"/>
      <c r="K283" s="27" t="str">
        <f aca="false">IF(H283="","",MAX(0,H283-IF(I283="",0,I283)))</f>
        <v/>
      </c>
      <c r="L283" s="25" t="str">
        <f aca="true">IF(H283="","",IF(I283&gt;=H283,"✅ Paid",IF(G283&lt;TODAY(),"🔴 Overdue",IF(G283&lt;=TODAY()+90,"🟡 Due Soon","⬜ Upcoming"))))</f>
        <v/>
      </c>
    </row>
    <row r="284" customFormat="false" ht="15" hidden="false" customHeight="false" outlineLevel="0" collapsed="false">
      <c r="A284" s="24" t="n">
        <v>282</v>
      </c>
      <c r="C284" s="26"/>
      <c r="D284" s="25" t="n">
        <f aca="false">IFERROR(INDEX('DATA ENTRY'!$S:$S,MATCH(C284,'DATA ENTRY'!$B:$B,0)),"")</f>
        <v>0</v>
      </c>
      <c r="E284" s="25" t="n">
        <f aca="false">IFERROR(INDEX('DATA ENTRY'!$C:$C,MATCH(C284,'DATA ENTRY'!$B:$B,0)),"")</f>
        <v>0</v>
      </c>
      <c r="F284" s="25" t="n">
        <f aca="false">IFERROR(INDEX('DATA ENTRY'!$E:$E,MATCH(C284,'DATA ENTRY'!$B:$B,0)),"")</f>
        <v>0</v>
      </c>
      <c r="G284" s="34"/>
      <c r="H284" s="35"/>
      <c r="I284" s="35"/>
      <c r="J284" s="34"/>
      <c r="K284" s="27" t="str">
        <f aca="false">IF(H284="","",MAX(0,H284-IF(I284="",0,I284)))</f>
        <v/>
      </c>
      <c r="L284" s="25" t="str">
        <f aca="true">IF(H284="","",IF(I284&gt;=H284,"✅ Paid",IF(G284&lt;TODAY(),"🔴 Overdue",IF(G284&lt;=TODAY()+90,"🟡 Due Soon","⬜ Upcoming"))))</f>
        <v/>
      </c>
    </row>
    <row r="285" customFormat="false" ht="15" hidden="false" customHeight="false" outlineLevel="0" collapsed="false">
      <c r="A285" s="24" t="n">
        <v>283</v>
      </c>
      <c r="C285" s="26"/>
      <c r="D285" s="25" t="n">
        <f aca="false">IFERROR(INDEX('DATA ENTRY'!$S:$S,MATCH(C285,'DATA ENTRY'!$B:$B,0)),"")</f>
        <v>0</v>
      </c>
      <c r="E285" s="25" t="n">
        <f aca="false">IFERROR(INDEX('DATA ENTRY'!$C:$C,MATCH(C285,'DATA ENTRY'!$B:$B,0)),"")</f>
        <v>0</v>
      </c>
      <c r="F285" s="25" t="n">
        <f aca="false">IFERROR(INDEX('DATA ENTRY'!$E:$E,MATCH(C285,'DATA ENTRY'!$B:$B,0)),"")</f>
        <v>0</v>
      </c>
      <c r="G285" s="34"/>
      <c r="H285" s="35"/>
      <c r="I285" s="35"/>
      <c r="J285" s="34"/>
      <c r="K285" s="27" t="str">
        <f aca="false">IF(H285="","",MAX(0,H285-IF(I285="",0,I285)))</f>
        <v/>
      </c>
      <c r="L285" s="25" t="str">
        <f aca="true">IF(H285="","",IF(I285&gt;=H285,"✅ Paid",IF(G285&lt;TODAY(),"🔴 Overdue",IF(G285&lt;=TODAY()+90,"🟡 Due Soon","⬜ Upcoming"))))</f>
        <v/>
      </c>
    </row>
    <row r="286" customFormat="false" ht="15" hidden="false" customHeight="false" outlineLevel="0" collapsed="false">
      <c r="A286" s="24" t="n">
        <v>284</v>
      </c>
      <c r="C286" s="26"/>
      <c r="D286" s="25" t="n">
        <f aca="false">IFERROR(INDEX('DATA ENTRY'!$S:$S,MATCH(C286,'DATA ENTRY'!$B:$B,0)),"")</f>
        <v>0</v>
      </c>
      <c r="E286" s="25" t="n">
        <f aca="false">IFERROR(INDEX('DATA ENTRY'!$C:$C,MATCH(C286,'DATA ENTRY'!$B:$B,0)),"")</f>
        <v>0</v>
      </c>
      <c r="F286" s="25" t="n">
        <f aca="false">IFERROR(INDEX('DATA ENTRY'!$E:$E,MATCH(C286,'DATA ENTRY'!$B:$B,0)),"")</f>
        <v>0</v>
      </c>
      <c r="G286" s="34"/>
      <c r="H286" s="35"/>
      <c r="I286" s="35"/>
      <c r="J286" s="34"/>
      <c r="K286" s="27" t="str">
        <f aca="false">IF(H286="","",MAX(0,H286-IF(I286="",0,I286)))</f>
        <v/>
      </c>
      <c r="L286" s="25" t="str">
        <f aca="true">IF(H286="","",IF(I286&gt;=H286,"✅ Paid",IF(G286&lt;TODAY(),"🔴 Overdue",IF(G286&lt;=TODAY()+90,"🟡 Due Soon","⬜ Upcoming"))))</f>
        <v/>
      </c>
    </row>
    <row r="287" customFormat="false" ht="15" hidden="false" customHeight="false" outlineLevel="0" collapsed="false">
      <c r="A287" s="24" t="n">
        <v>285</v>
      </c>
      <c r="C287" s="26"/>
      <c r="D287" s="25" t="n">
        <f aca="false">IFERROR(INDEX('DATA ENTRY'!$S:$S,MATCH(C287,'DATA ENTRY'!$B:$B,0)),"")</f>
        <v>0</v>
      </c>
      <c r="E287" s="25" t="n">
        <f aca="false">IFERROR(INDEX('DATA ENTRY'!$C:$C,MATCH(C287,'DATA ENTRY'!$B:$B,0)),"")</f>
        <v>0</v>
      </c>
      <c r="F287" s="25" t="n">
        <f aca="false">IFERROR(INDEX('DATA ENTRY'!$E:$E,MATCH(C287,'DATA ENTRY'!$B:$B,0)),"")</f>
        <v>0</v>
      </c>
      <c r="G287" s="34"/>
      <c r="H287" s="35"/>
      <c r="I287" s="35"/>
      <c r="J287" s="34"/>
      <c r="K287" s="27" t="str">
        <f aca="false">IF(H287="","",MAX(0,H287-IF(I287="",0,I287)))</f>
        <v/>
      </c>
      <c r="L287" s="25" t="str">
        <f aca="true">IF(H287="","",IF(I287&gt;=H287,"✅ Paid",IF(G287&lt;TODAY(),"🔴 Overdue",IF(G287&lt;=TODAY()+90,"🟡 Due Soon","⬜ Upcoming"))))</f>
        <v/>
      </c>
    </row>
    <row r="288" customFormat="false" ht="15" hidden="false" customHeight="false" outlineLevel="0" collapsed="false">
      <c r="A288" s="24" t="n">
        <v>286</v>
      </c>
      <c r="C288" s="26"/>
      <c r="D288" s="25" t="n">
        <f aca="false">IFERROR(INDEX('DATA ENTRY'!$S:$S,MATCH(C288,'DATA ENTRY'!$B:$B,0)),"")</f>
        <v>0</v>
      </c>
      <c r="E288" s="25" t="n">
        <f aca="false">IFERROR(INDEX('DATA ENTRY'!$C:$C,MATCH(C288,'DATA ENTRY'!$B:$B,0)),"")</f>
        <v>0</v>
      </c>
      <c r="F288" s="25" t="n">
        <f aca="false">IFERROR(INDEX('DATA ENTRY'!$E:$E,MATCH(C288,'DATA ENTRY'!$B:$B,0)),"")</f>
        <v>0</v>
      </c>
      <c r="G288" s="34"/>
      <c r="H288" s="35"/>
      <c r="I288" s="35"/>
      <c r="J288" s="34"/>
      <c r="K288" s="27" t="str">
        <f aca="false">IF(H288="","",MAX(0,H288-IF(I288="",0,I288)))</f>
        <v/>
      </c>
      <c r="L288" s="25" t="str">
        <f aca="true">IF(H288="","",IF(I288&gt;=H288,"✅ Paid",IF(G288&lt;TODAY(),"🔴 Overdue",IF(G288&lt;=TODAY()+90,"🟡 Due Soon","⬜ Upcoming"))))</f>
        <v/>
      </c>
    </row>
    <row r="289" customFormat="false" ht="15" hidden="false" customHeight="false" outlineLevel="0" collapsed="false">
      <c r="A289" s="24" t="n">
        <v>287</v>
      </c>
      <c r="C289" s="26"/>
      <c r="D289" s="25" t="n">
        <f aca="false">IFERROR(INDEX('DATA ENTRY'!$S:$S,MATCH(C289,'DATA ENTRY'!$B:$B,0)),"")</f>
        <v>0</v>
      </c>
      <c r="E289" s="25" t="n">
        <f aca="false">IFERROR(INDEX('DATA ENTRY'!$C:$C,MATCH(C289,'DATA ENTRY'!$B:$B,0)),"")</f>
        <v>0</v>
      </c>
      <c r="F289" s="25" t="n">
        <f aca="false">IFERROR(INDEX('DATA ENTRY'!$E:$E,MATCH(C289,'DATA ENTRY'!$B:$B,0)),"")</f>
        <v>0</v>
      </c>
      <c r="G289" s="34"/>
      <c r="H289" s="35"/>
      <c r="I289" s="35"/>
      <c r="J289" s="34"/>
      <c r="K289" s="27" t="str">
        <f aca="false">IF(H289="","",MAX(0,H289-IF(I289="",0,I289)))</f>
        <v/>
      </c>
      <c r="L289" s="25" t="str">
        <f aca="true">IF(H289="","",IF(I289&gt;=H289,"✅ Paid",IF(G289&lt;TODAY(),"🔴 Overdue",IF(G289&lt;=TODAY()+90,"🟡 Due Soon","⬜ Upcoming"))))</f>
        <v/>
      </c>
    </row>
    <row r="290" customFormat="false" ht="15" hidden="false" customHeight="false" outlineLevel="0" collapsed="false">
      <c r="A290" s="24" t="n">
        <v>288</v>
      </c>
      <c r="C290" s="26"/>
      <c r="D290" s="25" t="n">
        <f aca="false">IFERROR(INDEX('DATA ENTRY'!$S:$S,MATCH(C290,'DATA ENTRY'!$B:$B,0)),"")</f>
        <v>0</v>
      </c>
      <c r="E290" s="25" t="n">
        <f aca="false">IFERROR(INDEX('DATA ENTRY'!$C:$C,MATCH(C290,'DATA ENTRY'!$B:$B,0)),"")</f>
        <v>0</v>
      </c>
      <c r="F290" s="25" t="n">
        <f aca="false">IFERROR(INDEX('DATA ENTRY'!$E:$E,MATCH(C290,'DATA ENTRY'!$B:$B,0)),"")</f>
        <v>0</v>
      </c>
      <c r="G290" s="34"/>
      <c r="H290" s="35"/>
      <c r="I290" s="35"/>
      <c r="J290" s="34"/>
      <c r="K290" s="27" t="str">
        <f aca="false">IF(H290="","",MAX(0,H290-IF(I290="",0,I290)))</f>
        <v/>
      </c>
      <c r="L290" s="25" t="str">
        <f aca="true">IF(H290="","",IF(I290&gt;=H290,"✅ Paid",IF(G290&lt;TODAY(),"🔴 Overdue",IF(G290&lt;=TODAY()+90,"🟡 Due Soon","⬜ Upcoming"))))</f>
        <v/>
      </c>
    </row>
    <row r="291" customFormat="false" ht="15" hidden="false" customHeight="false" outlineLevel="0" collapsed="false">
      <c r="A291" s="24" t="n">
        <v>289</v>
      </c>
      <c r="C291" s="26"/>
      <c r="D291" s="25" t="n">
        <f aca="false">IFERROR(INDEX('DATA ENTRY'!$S:$S,MATCH(C291,'DATA ENTRY'!$B:$B,0)),"")</f>
        <v>0</v>
      </c>
      <c r="E291" s="25" t="n">
        <f aca="false">IFERROR(INDEX('DATA ENTRY'!$C:$C,MATCH(C291,'DATA ENTRY'!$B:$B,0)),"")</f>
        <v>0</v>
      </c>
      <c r="F291" s="25" t="n">
        <f aca="false">IFERROR(INDEX('DATA ENTRY'!$E:$E,MATCH(C291,'DATA ENTRY'!$B:$B,0)),"")</f>
        <v>0</v>
      </c>
      <c r="G291" s="34"/>
      <c r="H291" s="35"/>
      <c r="I291" s="35"/>
      <c r="J291" s="34"/>
      <c r="K291" s="27" t="str">
        <f aca="false">IF(H291="","",MAX(0,H291-IF(I291="",0,I291)))</f>
        <v/>
      </c>
      <c r="L291" s="25" t="str">
        <f aca="true">IF(H291="","",IF(I291&gt;=H291,"✅ Paid",IF(G291&lt;TODAY(),"🔴 Overdue",IF(G291&lt;=TODAY()+90,"🟡 Due Soon","⬜ Upcoming"))))</f>
        <v/>
      </c>
    </row>
    <row r="292" customFormat="false" ht="15" hidden="false" customHeight="false" outlineLevel="0" collapsed="false">
      <c r="A292" s="24" t="n">
        <v>290</v>
      </c>
      <c r="C292" s="26"/>
      <c r="D292" s="25" t="n">
        <f aca="false">IFERROR(INDEX('DATA ENTRY'!$S:$S,MATCH(C292,'DATA ENTRY'!$B:$B,0)),"")</f>
        <v>0</v>
      </c>
      <c r="E292" s="25" t="n">
        <f aca="false">IFERROR(INDEX('DATA ENTRY'!$C:$C,MATCH(C292,'DATA ENTRY'!$B:$B,0)),"")</f>
        <v>0</v>
      </c>
      <c r="F292" s="25" t="n">
        <f aca="false">IFERROR(INDEX('DATA ENTRY'!$E:$E,MATCH(C292,'DATA ENTRY'!$B:$B,0)),"")</f>
        <v>0</v>
      </c>
      <c r="G292" s="34"/>
      <c r="H292" s="35"/>
      <c r="I292" s="35"/>
      <c r="J292" s="34"/>
      <c r="K292" s="27" t="str">
        <f aca="false">IF(H292="","",MAX(0,H292-IF(I292="",0,I292)))</f>
        <v/>
      </c>
      <c r="L292" s="25" t="str">
        <f aca="true">IF(H292="","",IF(I292&gt;=H292,"✅ Paid",IF(G292&lt;TODAY(),"🔴 Overdue",IF(G292&lt;=TODAY()+90,"🟡 Due Soon","⬜ Upcoming"))))</f>
        <v/>
      </c>
    </row>
    <row r="293" customFormat="false" ht="15" hidden="false" customHeight="false" outlineLevel="0" collapsed="false">
      <c r="A293" s="24" t="n">
        <v>291</v>
      </c>
      <c r="C293" s="26"/>
      <c r="D293" s="25" t="n">
        <f aca="false">IFERROR(INDEX('DATA ENTRY'!$S:$S,MATCH(C293,'DATA ENTRY'!$B:$B,0)),"")</f>
        <v>0</v>
      </c>
      <c r="E293" s="25" t="n">
        <f aca="false">IFERROR(INDEX('DATA ENTRY'!$C:$C,MATCH(C293,'DATA ENTRY'!$B:$B,0)),"")</f>
        <v>0</v>
      </c>
      <c r="F293" s="25" t="n">
        <f aca="false">IFERROR(INDEX('DATA ENTRY'!$E:$E,MATCH(C293,'DATA ENTRY'!$B:$B,0)),"")</f>
        <v>0</v>
      </c>
      <c r="G293" s="34"/>
      <c r="H293" s="35"/>
      <c r="I293" s="35"/>
      <c r="J293" s="34"/>
      <c r="K293" s="27" t="str">
        <f aca="false">IF(H293="","",MAX(0,H293-IF(I293="",0,I293)))</f>
        <v/>
      </c>
      <c r="L293" s="25" t="str">
        <f aca="true">IF(H293="","",IF(I293&gt;=H293,"✅ Paid",IF(G293&lt;TODAY(),"🔴 Overdue",IF(G293&lt;=TODAY()+90,"🟡 Due Soon","⬜ Upcoming"))))</f>
        <v/>
      </c>
    </row>
    <row r="294" customFormat="false" ht="15" hidden="false" customHeight="false" outlineLevel="0" collapsed="false">
      <c r="A294" s="24" t="n">
        <v>292</v>
      </c>
      <c r="C294" s="26"/>
      <c r="D294" s="25" t="n">
        <f aca="false">IFERROR(INDEX('DATA ENTRY'!$S:$S,MATCH(C294,'DATA ENTRY'!$B:$B,0)),"")</f>
        <v>0</v>
      </c>
      <c r="E294" s="25" t="n">
        <f aca="false">IFERROR(INDEX('DATA ENTRY'!$C:$C,MATCH(C294,'DATA ENTRY'!$B:$B,0)),"")</f>
        <v>0</v>
      </c>
      <c r="F294" s="25" t="n">
        <f aca="false">IFERROR(INDEX('DATA ENTRY'!$E:$E,MATCH(C294,'DATA ENTRY'!$B:$B,0)),"")</f>
        <v>0</v>
      </c>
      <c r="G294" s="34"/>
      <c r="H294" s="35"/>
      <c r="I294" s="35"/>
      <c r="J294" s="34"/>
      <c r="K294" s="27" t="str">
        <f aca="false">IF(H294="","",MAX(0,H294-IF(I294="",0,I294)))</f>
        <v/>
      </c>
      <c r="L294" s="25" t="str">
        <f aca="true">IF(H294="","",IF(I294&gt;=H294,"✅ Paid",IF(G294&lt;TODAY(),"🔴 Overdue",IF(G294&lt;=TODAY()+90,"🟡 Due Soon","⬜ Upcoming"))))</f>
        <v/>
      </c>
    </row>
    <row r="295" customFormat="false" ht="15" hidden="false" customHeight="false" outlineLevel="0" collapsed="false">
      <c r="A295" s="24" t="n">
        <v>293</v>
      </c>
      <c r="C295" s="26"/>
      <c r="D295" s="25" t="n">
        <f aca="false">IFERROR(INDEX('DATA ENTRY'!$S:$S,MATCH(C295,'DATA ENTRY'!$B:$B,0)),"")</f>
        <v>0</v>
      </c>
      <c r="E295" s="25" t="n">
        <f aca="false">IFERROR(INDEX('DATA ENTRY'!$C:$C,MATCH(C295,'DATA ENTRY'!$B:$B,0)),"")</f>
        <v>0</v>
      </c>
      <c r="F295" s="25" t="n">
        <f aca="false">IFERROR(INDEX('DATA ENTRY'!$E:$E,MATCH(C295,'DATA ENTRY'!$B:$B,0)),"")</f>
        <v>0</v>
      </c>
      <c r="G295" s="34"/>
      <c r="H295" s="35"/>
      <c r="I295" s="35"/>
      <c r="J295" s="34"/>
      <c r="K295" s="27" t="str">
        <f aca="false">IF(H295="","",MAX(0,H295-IF(I295="",0,I295)))</f>
        <v/>
      </c>
      <c r="L295" s="25" t="str">
        <f aca="true">IF(H295="","",IF(I295&gt;=H295,"✅ Paid",IF(G295&lt;TODAY(),"🔴 Overdue",IF(G295&lt;=TODAY()+90,"🟡 Due Soon","⬜ Upcoming"))))</f>
        <v/>
      </c>
    </row>
    <row r="296" customFormat="false" ht="15" hidden="false" customHeight="false" outlineLevel="0" collapsed="false">
      <c r="A296" s="24" t="n">
        <v>294</v>
      </c>
      <c r="C296" s="26"/>
      <c r="D296" s="25" t="n">
        <f aca="false">IFERROR(INDEX('DATA ENTRY'!$S:$S,MATCH(C296,'DATA ENTRY'!$B:$B,0)),"")</f>
        <v>0</v>
      </c>
      <c r="E296" s="25" t="n">
        <f aca="false">IFERROR(INDEX('DATA ENTRY'!$C:$C,MATCH(C296,'DATA ENTRY'!$B:$B,0)),"")</f>
        <v>0</v>
      </c>
      <c r="F296" s="25" t="n">
        <f aca="false">IFERROR(INDEX('DATA ENTRY'!$E:$E,MATCH(C296,'DATA ENTRY'!$B:$B,0)),"")</f>
        <v>0</v>
      </c>
      <c r="G296" s="34"/>
      <c r="H296" s="35"/>
      <c r="I296" s="35"/>
      <c r="J296" s="34"/>
      <c r="K296" s="27" t="str">
        <f aca="false">IF(H296="","",MAX(0,H296-IF(I296="",0,I296)))</f>
        <v/>
      </c>
      <c r="L296" s="25" t="str">
        <f aca="true">IF(H296="","",IF(I296&gt;=H296,"✅ Paid",IF(G296&lt;TODAY(),"🔴 Overdue",IF(G296&lt;=TODAY()+90,"🟡 Due Soon","⬜ Upcoming"))))</f>
        <v/>
      </c>
    </row>
    <row r="297" customFormat="false" ht="15" hidden="false" customHeight="false" outlineLevel="0" collapsed="false">
      <c r="A297" s="24" t="n">
        <v>295</v>
      </c>
      <c r="C297" s="26"/>
      <c r="D297" s="25" t="n">
        <f aca="false">IFERROR(INDEX('DATA ENTRY'!$S:$S,MATCH(C297,'DATA ENTRY'!$B:$B,0)),"")</f>
        <v>0</v>
      </c>
      <c r="E297" s="25" t="n">
        <f aca="false">IFERROR(INDEX('DATA ENTRY'!$C:$C,MATCH(C297,'DATA ENTRY'!$B:$B,0)),"")</f>
        <v>0</v>
      </c>
      <c r="F297" s="25" t="n">
        <f aca="false">IFERROR(INDEX('DATA ENTRY'!$E:$E,MATCH(C297,'DATA ENTRY'!$B:$B,0)),"")</f>
        <v>0</v>
      </c>
      <c r="G297" s="34"/>
      <c r="H297" s="35"/>
      <c r="I297" s="35"/>
      <c r="J297" s="34"/>
      <c r="K297" s="27" t="str">
        <f aca="false">IF(H297="","",MAX(0,H297-IF(I297="",0,I297)))</f>
        <v/>
      </c>
      <c r="L297" s="25" t="str">
        <f aca="true">IF(H297="","",IF(I297&gt;=H297,"✅ Paid",IF(G297&lt;TODAY(),"🔴 Overdue",IF(G297&lt;=TODAY()+90,"🟡 Due Soon","⬜ Upcoming"))))</f>
        <v/>
      </c>
    </row>
    <row r="298" customFormat="false" ht="15" hidden="false" customHeight="false" outlineLevel="0" collapsed="false">
      <c r="A298" s="24" t="n">
        <v>296</v>
      </c>
      <c r="C298" s="26"/>
      <c r="D298" s="25" t="n">
        <f aca="false">IFERROR(INDEX('DATA ENTRY'!$S:$S,MATCH(C298,'DATA ENTRY'!$B:$B,0)),"")</f>
        <v>0</v>
      </c>
      <c r="E298" s="25" t="n">
        <f aca="false">IFERROR(INDEX('DATA ENTRY'!$C:$C,MATCH(C298,'DATA ENTRY'!$B:$B,0)),"")</f>
        <v>0</v>
      </c>
      <c r="F298" s="25" t="n">
        <f aca="false">IFERROR(INDEX('DATA ENTRY'!$E:$E,MATCH(C298,'DATA ENTRY'!$B:$B,0)),"")</f>
        <v>0</v>
      </c>
      <c r="G298" s="34"/>
      <c r="H298" s="35"/>
      <c r="I298" s="35"/>
      <c r="J298" s="34"/>
      <c r="K298" s="27" t="str">
        <f aca="false">IF(H298="","",MAX(0,H298-IF(I298="",0,I298)))</f>
        <v/>
      </c>
      <c r="L298" s="25" t="str">
        <f aca="true">IF(H298="","",IF(I298&gt;=H298,"✅ Paid",IF(G298&lt;TODAY(),"🔴 Overdue",IF(G298&lt;=TODAY()+90,"🟡 Due Soon","⬜ Upcoming"))))</f>
        <v/>
      </c>
    </row>
    <row r="299" customFormat="false" ht="15" hidden="false" customHeight="false" outlineLevel="0" collapsed="false">
      <c r="A299" s="24" t="n">
        <v>297</v>
      </c>
      <c r="C299" s="26"/>
      <c r="D299" s="25" t="n">
        <f aca="false">IFERROR(INDEX('DATA ENTRY'!$S:$S,MATCH(C299,'DATA ENTRY'!$B:$B,0)),"")</f>
        <v>0</v>
      </c>
      <c r="E299" s="25" t="n">
        <f aca="false">IFERROR(INDEX('DATA ENTRY'!$C:$C,MATCH(C299,'DATA ENTRY'!$B:$B,0)),"")</f>
        <v>0</v>
      </c>
      <c r="F299" s="25" t="n">
        <f aca="false">IFERROR(INDEX('DATA ENTRY'!$E:$E,MATCH(C299,'DATA ENTRY'!$B:$B,0)),"")</f>
        <v>0</v>
      </c>
      <c r="G299" s="34"/>
      <c r="H299" s="35"/>
      <c r="I299" s="35"/>
      <c r="J299" s="34"/>
      <c r="K299" s="27" t="str">
        <f aca="false">IF(H299="","",MAX(0,H299-IF(I299="",0,I299)))</f>
        <v/>
      </c>
      <c r="L299" s="25" t="str">
        <f aca="true">IF(H299="","",IF(I299&gt;=H299,"✅ Paid",IF(G299&lt;TODAY(),"🔴 Overdue",IF(G299&lt;=TODAY()+90,"🟡 Due Soon","⬜ Upcoming"))))</f>
        <v/>
      </c>
    </row>
    <row r="300" customFormat="false" ht="15" hidden="false" customHeight="false" outlineLevel="0" collapsed="false">
      <c r="A300" s="24" t="n">
        <v>298</v>
      </c>
      <c r="C300" s="26"/>
      <c r="D300" s="25" t="n">
        <f aca="false">IFERROR(INDEX('DATA ENTRY'!$S:$S,MATCH(C300,'DATA ENTRY'!$B:$B,0)),"")</f>
        <v>0</v>
      </c>
      <c r="E300" s="25" t="n">
        <f aca="false">IFERROR(INDEX('DATA ENTRY'!$C:$C,MATCH(C300,'DATA ENTRY'!$B:$B,0)),"")</f>
        <v>0</v>
      </c>
      <c r="F300" s="25" t="n">
        <f aca="false">IFERROR(INDEX('DATA ENTRY'!$E:$E,MATCH(C300,'DATA ENTRY'!$B:$B,0)),"")</f>
        <v>0</v>
      </c>
      <c r="G300" s="34"/>
      <c r="H300" s="35"/>
      <c r="I300" s="35"/>
      <c r="J300" s="34"/>
      <c r="K300" s="27" t="str">
        <f aca="false">IF(H300="","",MAX(0,H300-IF(I300="",0,I300)))</f>
        <v/>
      </c>
      <c r="L300" s="25" t="str">
        <f aca="true">IF(H300="","",IF(I300&gt;=H300,"✅ Paid",IF(G300&lt;TODAY(),"🔴 Overdue",IF(G300&lt;=TODAY()+90,"🟡 Due Soon","⬜ Upcoming"))))</f>
        <v/>
      </c>
    </row>
    <row r="301" customFormat="false" ht="15" hidden="false" customHeight="false" outlineLevel="0" collapsed="false">
      <c r="A301" s="24" t="n">
        <v>299</v>
      </c>
      <c r="C301" s="26"/>
      <c r="D301" s="25" t="n">
        <f aca="false">IFERROR(INDEX('DATA ENTRY'!$S:$S,MATCH(C301,'DATA ENTRY'!$B:$B,0)),"")</f>
        <v>0</v>
      </c>
      <c r="E301" s="25" t="n">
        <f aca="false">IFERROR(INDEX('DATA ENTRY'!$C:$C,MATCH(C301,'DATA ENTRY'!$B:$B,0)),"")</f>
        <v>0</v>
      </c>
      <c r="F301" s="25" t="n">
        <f aca="false">IFERROR(INDEX('DATA ENTRY'!$E:$E,MATCH(C301,'DATA ENTRY'!$B:$B,0)),"")</f>
        <v>0</v>
      </c>
      <c r="G301" s="34"/>
      <c r="H301" s="35"/>
      <c r="I301" s="35"/>
      <c r="J301" s="34"/>
      <c r="K301" s="27" t="str">
        <f aca="false">IF(H301="","",MAX(0,H301-IF(I301="",0,I301)))</f>
        <v/>
      </c>
      <c r="L301" s="25" t="str">
        <f aca="true">IF(H301="","",IF(I301&gt;=H301,"✅ Paid",IF(G301&lt;TODAY(),"🔴 Overdue",IF(G301&lt;=TODAY()+90,"🟡 Due Soon","⬜ Upcoming"))))</f>
        <v/>
      </c>
    </row>
    <row r="302" customFormat="false" ht="15" hidden="false" customHeight="false" outlineLevel="0" collapsed="false">
      <c r="A302" s="24" t="n">
        <v>300</v>
      </c>
      <c r="C302" s="26"/>
      <c r="D302" s="25" t="n">
        <f aca="false">IFERROR(INDEX('DATA ENTRY'!$S:$S,MATCH(C302,'DATA ENTRY'!$B:$B,0)),"")</f>
        <v>0</v>
      </c>
      <c r="E302" s="25" t="n">
        <f aca="false">IFERROR(INDEX('DATA ENTRY'!$C:$C,MATCH(C302,'DATA ENTRY'!$B:$B,0)),"")</f>
        <v>0</v>
      </c>
      <c r="F302" s="25" t="n">
        <f aca="false">IFERROR(INDEX('DATA ENTRY'!$E:$E,MATCH(C302,'DATA ENTRY'!$B:$B,0)),"")</f>
        <v>0</v>
      </c>
      <c r="G302" s="34"/>
      <c r="H302" s="35"/>
      <c r="I302" s="35"/>
      <c r="J302" s="34"/>
      <c r="K302" s="27" t="str">
        <f aca="false">IF(H302="","",MAX(0,H302-IF(I302="",0,I302)))</f>
        <v/>
      </c>
      <c r="L302" s="25" t="str">
        <f aca="true">IF(H302="","",IF(I302&gt;=H302,"✅ Paid",IF(G302&lt;TODAY(),"🔴 Overdue",IF(G302&lt;=TODAY()+90,"🟡 Due Soon","⬜ Upcoming"))))</f>
        <v/>
      </c>
    </row>
    <row r="303" customFormat="false" ht="15" hidden="false" customHeight="false" outlineLevel="0" collapsed="false">
      <c r="A303" s="24" t="n">
        <v>301</v>
      </c>
      <c r="C303" s="26"/>
      <c r="D303" s="25" t="n">
        <f aca="false">IFERROR(INDEX('DATA ENTRY'!$S:$S,MATCH(C303,'DATA ENTRY'!$B:$B,0)),"")</f>
        <v>0</v>
      </c>
      <c r="E303" s="25" t="n">
        <f aca="false">IFERROR(INDEX('DATA ENTRY'!$C:$C,MATCH(C303,'DATA ENTRY'!$B:$B,0)),"")</f>
        <v>0</v>
      </c>
      <c r="F303" s="25" t="n">
        <f aca="false">IFERROR(INDEX('DATA ENTRY'!$E:$E,MATCH(C303,'DATA ENTRY'!$B:$B,0)),"")</f>
        <v>0</v>
      </c>
      <c r="G303" s="34"/>
      <c r="H303" s="35"/>
      <c r="I303" s="35"/>
      <c r="J303" s="34"/>
      <c r="K303" s="27" t="str">
        <f aca="false">IF(H303="","",MAX(0,H303-IF(I303="",0,I303)))</f>
        <v/>
      </c>
      <c r="L303" s="25" t="str">
        <f aca="true">IF(H303="","",IF(I303&gt;=H303,"✅ Paid",IF(G303&lt;TODAY(),"🔴 Overdue",IF(G303&lt;=TODAY()+90,"🟡 Due Soon","⬜ Upcoming"))))</f>
        <v/>
      </c>
    </row>
    <row r="304" customFormat="false" ht="15" hidden="false" customHeight="false" outlineLevel="0" collapsed="false">
      <c r="A304" s="24" t="n">
        <v>302</v>
      </c>
      <c r="C304" s="26"/>
      <c r="D304" s="25" t="n">
        <f aca="false">IFERROR(INDEX('DATA ENTRY'!$S:$S,MATCH(C304,'DATA ENTRY'!$B:$B,0)),"")</f>
        <v>0</v>
      </c>
      <c r="E304" s="25" t="n">
        <f aca="false">IFERROR(INDEX('DATA ENTRY'!$C:$C,MATCH(C304,'DATA ENTRY'!$B:$B,0)),"")</f>
        <v>0</v>
      </c>
      <c r="F304" s="25" t="n">
        <f aca="false">IFERROR(INDEX('DATA ENTRY'!$E:$E,MATCH(C304,'DATA ENTRY'!$B:$B,0)),"")</f>
        <v>0</v>
      </c>
      <c r="G304" s="34"/>
      <c r="H304" s="35"/>
      <c r="I304" s="35"/>
      <c r="J304" s="34"/>
      <c r="K304" s="27" t="str">
        <f aca="false">IF(H304="","",MAX(0,H304-IF(I304="",0,I304)))</f>
        <v/>
      </c>
      <c r="L304" s="25" t="str">
        <f aca="true">IF(H304="","",IF(I304&gt;=H304,"✅ Paid",IF(G304&lt;TODAY(),"🔴 Overdue",IF(G304&lt;=TODAY()+90,"🟡 Due Soon","⬜ Upcoming"))))</f>
        <v/>
      </c>
    </row>
    <row r="305" customFormat="false" ht="15" hidden="false" customHeight="false" outlineLevel="0" collapsed="false">
      <c r="A305" s="24" t="n">
        <v>303</v>
      </c>
      <c r="C305" s="26"/>
      <c r="D305" s="25" t="n">
        <f aca="false">IFERROR(INDEX('DATA ENTRY'!$S:$S,MATCH(C305,'DATA ENTRY'!$B:$B,0)),"")</f>
        <v>0</v>
      </c>
      <c r="E305" s="25" t="n">
        <f aca="false">IFERROR(INDEX('DATA ENTRY'!$C:$C,MATCH(C305,'DATA ENTRY'!$B:$B,0)),"")</f>
        <v>0</v>
      </c>
      <c r="F305" s="25" t="n">
        <f aca="false">IFERROR(INDEX('DATA ENTRY'!$E:$E,MATCH(C305,'DATA ENTRY'!$B:$B,0)),"")</f>
        <v>0</v>
      </c>
      <c r="G305" s="34"/>
      <c r="H305" s="35"/>
      <c r="I305" s="35"/>
      <c r="J305" s="34"/>
      <c r="K305" s="27" t="str">
        <f aca="false">IF(H305="","",MAX(0,H305-IF(I305="",0,I305)))</f>
        <v/>
      </c>
      <c r="L305" s="25" t="str">
        <f aca="true">IF(H305="","",IF(I305&gt;=H305,"✅ Paid",IF(G305&lt;TODAY(),"🔴 Overdue",IF(G305&lt;=TODAY()+90,"🟡 Due Soon","⬜ Upcoming"))))</f>
        <v/>
      </c>
    </row>
    <row r="306" customFormat="false" ht="15" hidden="false" customHeight="false" outlineLevel="0" collapsed="false">
      <c r="A306" s="24" t="n">
        <v>304</v>
      </c>
      <c r="C306" s="26"/>
      <c r="D306" s="25" t="n">
        <f aca="false">IFERROR(INDEX('DATA ENTRY'!$S:$S,MATCH(C306,'DATA ENTRY'!$B:$B,0)),"")</f>
        <v>0</v>
      </c>
      <c r="E306" s="25" t="n">
        <f aca="false">IFERROR(INDEX('DATA ENTRY'!$C:$C,MATCH(C306,'DATA ENTRY'!$B:$B,0)),"")</f>
        <v>0</v>
      </c>
      <c r="F306" s="25" t="n">
        <f aca="false">IFERROR(INDEX('DATA ENTRY'!$E:$E,MATCH(C306,'DATA ENTRY'!$B:$B,0)),"")</f>
        <v>0</v>
      </c>
      <c r="G306" s="34"/>
      <c r="H306" s="35"/>
      <c r="I306" s="35"/>
      <c r="J306" s="34"/>
      <c r="K306" s="27" t="str">
        <f aca="false">IF(H306="","",MAX(0,H306-IF(I306="",0,I306)))</f>
        <v/>
      </c>
      <c r="L306" s="25" t="str">
        <f aca="true">IF(H306="","",IF(I306&gt;=H306,"✅ Paid",IF(G306&lt;TODAY(),"🔴 Overdue",IF(G306&lt;=TODAY()+90,"🟡 Due Soon","⬜ Upcoming"))))</f>
        <v/>
      </c>
    </row>
    <row r="307" customFormat="false" ht="15" hidden="false" customHeight="false" outlineLevel="0" collapsed="false">
      <c r="A307" s="24" t="n">
        <v>305</v>
      </c>
      <c r="C307" s="26"/>
      <c r="D307" s="25" t="n">
        <f aca="false">IFERROR(INDEX('DATA ENTRY'!$S:$S,MATCH(C307,'DATA ENTRY'!$B:$B,0)),"")</f>
        <v>0</v>
      </c>
      <c r="E307" s="25" t="n">
        <f aca="false">IFERROR(INDEX('DATA ENTRY'!$C:$C,MATCH(C307,'DATA ENTRY'!$B:$B,0)),"")</f>
        <v>0</v>
      </c>
      <c r="F307" s="25" t="n">
        <f aca="false">IFERROR(INDEX('DATA ENTRY'!$E:$E,MATCH(C307,'DATA ENTRY'!$B:$B,0)),"")</f>
        <v>0</v>
      </c>
      <c r="G307" s="34"/>
      <c r="H307" s="35"/>
      <c r="I307" s="35"/>
      <c r="J307" s="34"/>
      <c r="K307" s="27" t="str">
        <f aca="false">IF(H307="","",MAX(0,H307-IF(I307="",0,I307)))</f>
        <v/>
      </c>
      <c r="L307" s="25" t="str">
        <f aca="true">IF(H307="","",IF(I307&gt;=H307,"✅ Paid",IF(G307&lt;TODAY(),"🔴 Overdue",IF(G307&lt;=TODAY()+90,"🟡 Due Soon","⬜ Upcoming"))))</f>
        <v/>
      </c>
    </row>
    <row r="308" customFormat="false" ht="15" hidden="false" customHeight="false" outlineLevel="0" collapsed="false">
      <c r="A308" s="24" t="n">
        <v>306</v>
      </c>
      <c r="C308" s="26"/>
      <c r="D308" s="25" t="n">
        <f aca="false">IFERROR(INDEX('DATA ENTRY'!$S:$S,MATCH(C308,'DATA ENTRY'!$B:$B,0)),"")</f>
        <v>0</v>
      </c>
      <c r="E308" s="25" t="n">
        <f aca="false">IFERROR(INDEX('DATA ENTRY'!$C:$C,MATCH(C308,'DATA ENTRY'!$B:$B,0)),"")</f>
        <v>0</v>
      </c>
      <c r="F308" s="25" t="n">
        <f aca="false">IFERROR(INDEX('DATA ENTRY'!$E:$E,MATCH(C308,'DATA ENTRY'!$B:$B,0)),"")</f>
        <v>0</v>
      </c>
      <c r="G308" s="34"/>
      <c r="H308" s="35"/>
      <c r="I308" s="35"/>
      <c r="J308" s="34"/>
      <c r="K308" s="27" t="str">
        <f aca="false">IF(H308="","",MAX(0,H308-IF(I308="",0,I308)))</f>
        <v/>
      </c>
      <c r="L308" s="25" t="str">
        <f aca="true">IF(H308="","",IF(I308&gt;=H308,"✅ Paid",IF(G308&lt;TODAY(),"🔴 Overdue",IF(G308&lt;=TODAY()+90,"🟡 Due Soon","⬜ Upcoming"))))</f>
        <v/>
      </c>
    </row>
    <row r="309" customFormat="false" ht="15" hidden="false" customHeight="false" outlineLevel="0" collapsed="false">
      <c r="A309" s="24" t="n">
        <v>307</v>
      </c>
      <c r="C309" s="26"/>
      <c r="D309" s="25" t="n">
        <f aca="false">IFERROR(INDEX('DATA ENTRY'!$S:$S,MATCH(C309,'DATA ENTRY'!$B:$B,0)),"")</f>
        <v>0</v>
      </c>
      <c r="E309" s="25" t="n">
        <f aca="false">IFERROR(INDEX('DATA ENTRY'!$C:$C,MATCH(C309,'DATA ENTRY'!$B:$B,0)),"")</f>
        <v>0</v>
      </c>
      <c r="F309" s="25" t="n">
        <f aca="false">IFERROR(INDEX('DATA ENTRY'!$E:$E,MATCH(C309,'DATA ENTRY'!$B:$B,0)),"")</f>
        <v>0</v>
      </c>
      <c r="G309" s="34"/>
      <c r="H309" s="35"/>
      <c r="I309" s="35"/>
      <c r="J309" s="34"/>
      <c r="K309" s="27" t="str">
        <f aca="false">IF(H309="","",MAX(0,H309-IF(I309="",0,I309)))</f>
        <v/>
      </c>
      <c r="L309" s="25" t="str">
        <f aca="true">IF(H309="","",IF(I309&gt;=H309,"✅ Paid",IF(G309&lt;TODAY(),"🔴 Overdue",IF(G309&lt;=TODAY()+90,"🟡 Due Soon","⬜ Upcoming"))))</f>
        <v/>
      </c>
    </row>
    <row r="310" customFormat="false" ht="15" hidden="false" customHeight="false" outlineLevel="0" collapsed="false">
      <c r="A310" s="24" t="n">
        <v>308</v>
      </c>
      <c r="C310" s="26"/>
      <c r="D310" s="25" t="n">
        <f aca="false">IFERROR(INDEX('DATA ENTRY'!$S:$S,MATCH(C310,'DATA ENTRY'!$B:$B,0)),"")</f>
        <v>0</v>
      </c>
      <c r="E310" s="25" t="n">
        <f aca="false">IFERROR(INDEX('DATA ENTRY'!$C:$C,MATCH(C310,'DATA ENTRY'!$B:$B,0)),"")</f>
        <v>0</v>
      </c>
      <c r="F310" s="25" t="n">
        <f aca="false">IFERROR(INDEX('DATA ENTRY'!$E:$E,MATCH(C310,'DATA ENTRY'!$B:$B,0)),"")</f>
        <v>0</v>
      </c>
      <c r="G310" s="34"/>
      <c r="H310" s="35"/>
      <c r="I310" s="35"/>
      <c r="J310" s="34"/>
      <c r="K310" s="27" t="str">
        <f aca="false">IF(H310="","",MAX(0,H310-IF(I310="",0,I310)))</f>
        <v/>
      </c>
      <c r="L310" s="25" t="str">
        <f aca="true">IF(H310="","",IF(I310&gt;=H310,"✅ Paid",IF(G310&lt;TODAY(),"🔴 Overdue",IF(G310&lt;=TODAY()+90,"🟡 Due Soon","⬜ Upcoming"))))</f>
        <v/>
      </c>
    </row>
    <row r="311" customFormat="false" ht="15" hidden="false" customHeight="false" outlineLevel="0" collapsed="false">
      <c r="A311" s="24" t="n">
        <v>309</v>
      </c>
      <c r="C311" s="26"/>
      <c r="D311" s="25" t="n">
        <f aca="false">IFERROR(INDEX('DATA ENTRY'!$S:$S,MATCH(C311,'DATA ENTRY'!$B:$B,0)),"")</f>
        <v>0</v>
      </c>
      <c r="E311" s="25" t="n">
        <f aca="false">IFERROR(INDEX('DATA ENTRY'!$C:$C,MATCH(C311,'DATA ENTRY'!$B:$B,0)),"")</f>
        <v>0</v>
      </c>
      <c r="F311" s="25" t="n">
        <f aca="false">IFERROR(INDEX('DATA ENTRY'!$E:$E,MATCH(C311,'DATA ENTRY'!$B:$B,0)),"")</f>
        <v>0</v>
      </c>
      <c r="G311" s="34"/>
      <c r="H311" s="35"/>
      <c r="I311" s="35"/>
      <c r="J311" s="34"/>
      <c r="K311" s="27" t="str">
        <f aca="false">IF(H311="","",MAX(0,H311-IF(I311="",0,I311)))</f>
        <v/>
      </c>
      <c r="L311" s="25" t="str">
        <f aca="true">IF(H311="","",IF(I311&gt;=H311,"✅ Paid",IF(G311&lt;TODAY(),"🔴 Overdue",IF(G311&lt;=TODAY()+90,"🟡 Due Soon","⬜ Upcoming"))))</f>
        <v/>
      </c>
    </row>
    <row r="312" customFormat="false" ht="15" hidden="false" customHeight="false" outlineLevel="0" collapsed="false">
      <c r="A312" s="24" t="n">
        <v>310</v>
      </c>
      <c r="C312" s="26"/>
      <c r="D312" s="25" t="n">
        <f aca="false">IFERROR(INDEX('DATA ENTRY'!$S:$S,MATCH(C312,'DATA ENTRY'!$B:$B,0)),"")</f>
        <v>0</v>
      </c>
      <c r="E312" s="25" t="n">
        <f aca="false">IFERROR(INDEX('DATA ENTRY'!$C:$C,MATCH(C312,'DATA ENTRY'!$B:$B,0)),"")</f>
        <v>0</v>
      </c>
      <c r="F312" s="25" t="n">
        <f aca="false">IFERROR(INDEX('DATA ENTRY'!$E:$E,MATCH(C312,'DATA ENTRY'!$B:$B,0)),"")</f>
        <v>0</v>
      </c>
      <c r="G312" s="34"/>
      <c r="H312" s="35"/>
      <c r="I312" s="35"/>
      <c r="J312" s="34"/>
      <c r="K312" s="27" t="str">
        <f aca="false">IF(H312="","",MAX(0,H312-IF(I312="",0,I312)))</f>
        <v/>
      </c>
      <c r="L312" s="25" t="str">
        <f aca="true">IF(H312="","",IF(I312&gt;=H312,"✅ Paid",IF(G312&lt;TODAY(),"🔴 Overdue",IF(G312&lt;=TODAY()+90,"🟡 Due Soon","⬜ Upcoming"))))</f>
        <v/>
      </c>
    </row>
    <row r="313" customFormat="false" ht="15" hidden="false" customHeight="false" outlineLevel="0" collapsed="false">
      <c r="A313" s="24" t="n">
        <v>311</v>
      </c>
      <c r="C313" s="26"/>
      <c r="D313" s="25" t="n">
        <f aca="false">IFERROR(INDEX('DATA ENTRY'!$S:$S,MATCH(C313,'DATA ENTRY'!$B:$B,0)),"")</f>
        <v>0</v>
      </c>
      <c r="E313" s="25" t="n">
        <f aca="false">IFERROR(INDEX('DATA ENTRY'!$C:$C,MATCH(C313,'DATA ENTRY'!$B:$B,0)),"")</f>
        <v>0</v>
      </c>
      <c r="F313" s="25" t="n">
        <f aca="false">IFERROR(INDEX('DATA ENTRY'!$E:$E,MATCH(C313,'DATA ENTRY'!$B:$B,0)),"")</f>
        <v>0</v>
      </c>
      <c r="G313" s="34"/>
      <c r="H313" s="35"/>
      <c r="I313" s="35"/>
      <c r="J313" s="34"/>
      <c r="K313" s="27" t="str">
        <f aca="false">IF(H313="","",MAX(0,H313-IF(I313="",0,I313)))</f>
        <v/>
      </c>
      <c r="L313" s="25" t="str">
        <f aca="true">IF(H313="","",IF(I313&gt;=H313,"✅ Paid",IF(G313&lt;TODAY(),"🔴 Overdue",IF(G313&lt;=TODAY()+90,"🟡 Due Soon","⬜ Upcoming"))))</f>
        <v/>
      </c>
    </row>
    <row r="314" customFormat="false" ht="15" hidden="false" customHeight="false" outlineLevel="0" collapsed="false">
      <c r="A314" s="24" t="n">
        <v>312</v>
      </c>
      <c r="C314" s="26"/>
      <c r="D314" s="25" t="n">
        <f aca="false">IFERROR(INDEX('DATA ENTRY'!$S:$S,MATCH(C314,'DATA ENTRY'!$B:$B,0)),"")</f>
        <v>0</v>
      </c>
      <c r="E314" s="25" t="n">
        <f aca="false">IFERROR(INDEX('DATA ENTRY'!$C:$C,MATCH(C314,'DATA ENTRY'!$B:$B,0)),"")</f>
        <v>0</v>
      </c>
      <c r="F314" s="25" t="n">
        <f aca="false">IFERROR(INDEX('DATA ENTRY'!$E:$E,MATCH(C314,'DATA ENTRY'!$B:$B,0)),"")</f>
        <v>0</v>
      </c>
      <c r="G314" s="34"/>
      <c r="H314" s="35"/>
      <c r="I314" s="35"/>
      <c r="J314" s="34"/>
      <c r="K314" s="27" t="str">
        <f aca="false">IF(H314="","",MAX(0,H314-IF(I314="",0,I314)))</f>
        <v/>
      </c>
      <c r="L314" s="25" t="str">
        <f aca="true">IF(H314="","",IF(I314&gt;=H314,"✅ Paid",IF(G314&lt;TODAY(),"🔴 Overdue",IF(G314&lt;=TODAY()+90,"🟡 Due Soon","⬜ Upcoming"))))</f>
        <v/>
      </c>
    </row>
    <row r="315" customFormat="false" ht="15" hidden="false" customHeight="false" outlineLevel="0" collapsed="false">
      <c r="A315" s="24" t="n">
        <v>313</v>
      </c>
      <c r="C315" s="26"/>
      <c r="D315" s="25" t="n">
        <f aca="false">IFERROR(INDEX('DATA ENTRY'!$S:$S,MATCH(C315,'DATA ENTRY'!$B:$B,0)),"")</f>
        <v>0</v>
      </c>
      <c r="E315" s="25" t="n">
        <f aca="false">IFERROR(INDEX('DATA ENTRY'!$C:$C,MATCH(C315,'DATA ENTRY'!$B:$B,0)),"")</f>
        <v>0</v>
      </c>
      <c r="F315" s="25" t="n">
        <f aca="false">IFERROR(INDEX('DATA ENTRY'!$E:$E,MATCH(C315,'DATA ENTRY'!$B:$B,0)),"")</f>
        <v>0</v>
      </c>
      <c r="G315" s="34"/>
      <c r="H315" s="35"/>
      <c r="I315" s="35"/>
      <c r="J315" s="34"/>
      <c r="K315" s="27" t="str">
        <f aca="false">IF(H315="","",MAX(0,H315-IF(I315="",0,I315)))</f>
        <v/>
      </c>
      <c r="L315" s="25" t="str">
        <f aca="true">IF(H315="","",IF(I315&gt;=H315,"✅ Paid",IF(G315&lt;TODAY(),"🔴 Overdue",IF(G315&lt;=TODAY()+90,"🟡 Due Soon","⬜ Upcoming"))))</f>
        <v/>
      </c>
    </row>
    <row r="316" customFormat="false" ht="15" hidden="false" customHeight="false" outlineLevel="0" collapsed="false">
      <c r="A316" s="24" t="n">
        <v>314</v>
      </c>
      <c r="C316" s="26"/>
      <c r="D316" s="25" t="n">
        <f aca="false">IFERROR(INDEX('DATA ENTRY'!$S:$S,MATCH(C316,'DATA ENTRY'!$B:$B,0)),"")</f>
        <v>0</v>
      </c>
      <c r="E316" s="25" t="n">
        <f aca="false">IFERROR(INDEX('DATA ENTRY'!$C:$C,MATCH(C316,'DATA ENTRY'!$B:$B,0)),"")</f>
        <v>0</v>
      </c>
      <c r="F316" s="25" t="n">
        <f aca="false">IFERROR(INDEX('DATA ENTRY'!$E:$E,MATCH(C316,'DATA ENTRY'!$B:$B,0)),"")</f>
        <v>0</v>
      </c>
      <c r="G316" s="34"/>
      <c r="H316" s="35"/>
      <c r="I316" s="35"/>
      <c r="J316" s="34"/>
      <c r="K316" s="27" t="str">
        <f aca="false">IF(H316="","",MAX(0,H316-IF(I316="",0,I316)))</f>
        <v/>
      </c>
      <c r="L316" s="25" t="str">
        <f aca="true">IF(H316="","",IF(I316&gt;=H316,"✅ Paid",IF(G316&lt;TODAY(),"🔴 Overdue",IF(G316&lt;=TODAY()+90,"🟡 Due Soon","⬜ Upcoming"))))</f>
        <v/>
      </c>
    </row>
    <row r="317" customFormat="false" ht="15" hidden="false" customHeight="false" outlineLevel="0" collapsed="false">
      <c r="A317" s="24" t="n">
        <v>315</v>
      </c>
      <c r="C317" s="26"/>
      <c r="D317" s="25" t="n">
        <f aca="false">IFERROR(INDEX('DATA ENTRY'!$S:$S,MATCH(C317,'DATA ENTRY'!$B:$B,0)),"")</f>
        <v>0</v>
      </c>
      <c r="E317" s="25" t="n">
        <f aca="false">IFERROR(INDEX('DATA ENTRY'!$C:$C,MATCH(C317,'DATA ENTRY'!$B:$B,0)),"")</f>
        <v>0</v>
      </c>
      <c r="F317" s="25" t="n">
        <f aca="false">IFERROR(INDEX('DATA ENTRY'!$E:$E,MATCH(C317,'DATA ENTRY'!$B:$B,0)),"")</f>
        <v>0</v>
      </c>
      <c r="G317" s="34"/>
      <c r="H317" s="35"/>
      <c r="I317" s="35"/>
      <c r="J317" s="34"/>
      <c r="K317" s="27" t="str">
        <f aca="false">IF(H317="","",MAX(0,H317-IF(I317="",0,I317)))</f>
        <v/>
      </c>
      <c r="L317" s="25" t="str">
        <f aca="true">IF(H317="","",IF(I317&gt;=H317,"✅ Paid",IF(G317&lt;TODAY(),"🔴 Overdue",IF(G317&lt;=TODAY()+90,"🟡 Due Soon","⬜ Upcoming"))))</f>
        <v/>
      </c>
    </row>
    <row r="318" customFormat="false" ht="15" hidden="false" customHeight="false" outlineLevel="0" collapsed="false">
      <c r="A318" s="24" t="n">
        <v>316</v>
      </c>
      <c r="C318" s="26"/>
      <c r="D318" s="25" t="n">
        <f aca="false">IFERROR(INDEX('DATA ENTRY'!$S:$S,MATCH(C318,'DATA ENTRY'!$B:$B,0)),"")</f>
        <v>0</v>
      </c>
      <c r="E318" s="25" t="n">
        <f aca="false">IFERROR(INDEX('DATA ENTRY'!$C:$C,MATCH(C318,'DATA ENTRY'!$B:$B,0)),"")</f>
        <v>0</v>
      </c>
      <c r="F318" s="25" t="n">
        <f aca="false">IFERROR(INDEX('DATA ENTRY'!$E:$E,MATCH(C318,'DATA ENTRY'!$B:$B,0)),"")</f>
        <v>0</v>
      </c>
      <c r="G318" s="34"/>
      <c r="H318" s="35"/>
      <c r="I318" s="35"/>
      <c r="J318" s="34"/>
      <c r="K318" s="27" t="str">
        <f aca="false">IF(H318="","",MAX(0,H318-IF(I318="",0,I318)))</f>
        <v/>
      </c>
      <c r="L318" s="25" t="str">
        <f aca="true">IF(H318="","",IF(I318&gt;=H318,"✅ Paid",IF(G318&lt;TODAY(),"🔴 Overdue",IF(G318&lt;=TODAY()+90,"🟡 Due Soon","⬜ Upcoming"))))</f>
        <v/>
      </c>
    </row>
    <row r="319" customFormat="false" ht="15" hidden="false" customHeight="false" outlineLevel="0" collapsed="false">
      <c r="A319" s="24" t="n">
        <v>317</v>
      </c>
      <c r="C319" s="26"/>
      <c r="D319" s="25" t="n">
        <f aca="false">IFERROR(INDEX('DATA ENTRY'!$S:$S,MATCH(C319,'DATA ENTRY'!$B:$B,0)),"")</f>
        <v>0</v>
      </c>
      <c r="E319" s="25" t="n">
        <f aca="false">IFERROR(INDEX('DATA ENTRY'!$C:$C,MATCH(C319,'DATA ENTRY'!$B:$B,0)),"")</f>
        <v>0</v>
      </c>
      <c r="F319" s="25" t="n">
        <f aca="false">IFERROR(INDEX('DATA ENTRY'!$E:$E,MATCH(C319,'DATA ENTRY'!$B:$B,0)),"")</f>
        <v>0</v>
      </c>
      <c r="G319" s="34"/>
      <c r="H319" s="35"/>
      <c r="I319" s="35"/>
      <c r="J319" s="34"/>
      <c r="K319" s="27" t="str">
        <f aca="false">IF(H319="","",MAX(0,H319-IF(I319="",0,I319)))</f>
        <v/>
      </c>
      <c r="L319" s="25" t="str">
        <f aca="true">IF(H319="","",IF(I319&gt;=H319,"✅ Paid",IF(G319&lt;TODAY(),"🔴 Overdue",IF(G319&lt;=TODAY()+90,"🟡 Due Soon","⬜ Upcoming"))))</f>
        <v/>
      </c>
    </row>
    <row r="320" customFormat="false" ht="15" hidden="false" customHeight="false" outlineLevel="0" collapsed="false">
      <c r="A320" s="24" t="n">
        <v>318</v>
      </c>
      <c r="C320" s="26"/>
      <c r="D320" s="25" t="n">
        <f aca="false">IFERROR(INDEX('DATA ENTRY'!$S:$S,MATCH(C320,'DATA ENTRY'!$B:$B,0)),"")</f>
        <v>0</v>
      </c>
      <c r="E320" s="25" t="n">
        <f aca="false">IFERROR(INDEX('DATA ENTRY'!$C:$C,MATCH(C320,'DATA ENTRY'!$B:$B,0)),"")</f>
        <v>0</v>
      </c>
      <c r="F320" s="25" t="n">
        <f aca="false">IFERROR(INDEX('DATA ENTRY'!$E:$E,MATCH(C320,'DATA ENTRY'!$B:$B,0)),"")</f>
        <v>0</v>
      </c>
      <c r="G320" s="34"/>
      <c r="H320" s="35"/>
      <c r="I320" s="35"/>
      <c r="J320" s="34"/>
      <c r="K320" s="27" t="str">
        <f aca="false">IF(H320="","",MAX(0,H320-IF(I320="",0,I320)))</f>
        <v/>
      </c>
      <c r="L320" s="25" t="str">
        <f aca="true">IF(H320="","",IF(I320&gt;=H320,"✅ Paid",IF(G320&lt;TODAY(),"🔴 Overdue",IF(G320&lt;=TODAY()+90,"🟡 Due Soon","⬜ Upcoming"))))</f>
        <v/>
      </c>
    </row>
    <row r="321" customFormat="false" ht="15" hidden="false" customHeight="false" outlineLevel="0" collapsed="false">
      <c r="A321" s="24" t="n">
        <v>319</v>
      </c>
      <c r="C321" s="26"/>
      <c r="D321" s="25" t="n">
        <f aca="false">IFERROR(INDEX('DATA ENTRY'!$S:$S,MATCH(C321,'DATA ENTRY'!$B:$B,0)),"")</f>
        <v>0</v>
      </c>
      <c r="E321" s="25" t="n">
        <f aca="false">IFERROR(INDEX('DATA ENTRY'!$C:$C,MATCH(C321,'DATA ENTRY'!$B:$B,0)),"")</f>
        <v>0</v>
      </c>
      <c r="F321" s="25" t="n">
        <f aca="false">IFERROR(INDEX('DATA ENTRY'!$E:$E,MATCH(C321,'DATA ENTRY'!$B:$B,0)),"")</f>
        <v>0</v>
      </c>
      <c r="G321" s="34"/>
      <c r="H321" s="35"/>
      <c r="I321" s="35"/>
      <c r="J321" s="34"/>
      <c r="K321" s="27" t="str">
        <f aca="false">IF(H321="","",MAX(0,H321-IF(I321="",0,I321)))</f>
        <v/>
      </c>
      <c r="L321" s="25" t="str">
        <f aca="true">IF(H321="","",IF(I321&gt;=H321,"✅ Paid",IF(G321&lt;TODAY(),"🔴 Overdue",IF(G321&lt;=TODAY()+90,"🟡 Due Soon","⬜ Upcoming"))))</f>
        <v/>
      </c>
    </row>
    <row r="322" customFormat="false" ht="15" hidden="false" customHeight="false" outlineLevel="0" collapsed="false">
      <c r="A322" s="24" t="n">
        <v>320</v>
      </c>
      <c r="C322" s="26"/>
      <c r="D322" s="25" t="n">
        <f aca="false">IFERROR(INDEX('DATA ENTRY'!$S:$S,MATCH(C322,'DATA ENTRY'!$B:$B,0)),"")</f>
        <v>0</v>
      </c>
      <c r="E322" s="25" t="n">
        <f aca="false">IFERROR(INDEX('DATA ENTRY'!$C:$C,MATCH(C322,'DATA ENTRY'!$B:$B,0)),"")</f>
        <v>0</v>
      </c>
      <c r="F322" s="25" t="n">
        <f aca="false">IFERROR(INDEX('DATA ENTRY'!$E:$E,MATCH(C322,'DATA ENTRY'!$B:$B,0)),"")</f>
        <v>0</v>
      </c>
      <c r="G322" s="34"/>
      <c r="H322" s="35"/>
      <c r="I322" s="35"/>
      <c r="J322" s="34"/>
      <c r="K322" s="27" t="str">
        <f aca="false">IF(H322="","",MAX(0,H322-IF(I322="",0,I322)))</f>
        <v/>
      </c>
      <c r="L322" s="25" t="str">
        <f aca="true">IF(H322="","",IF(I322&gt;=H322,"✅ Paid",IF(G322&lt;TODAY(),"🔴 Overdue",IF(G322&lt;=TODAY()+90,"🟡 Due Soon","⬜ Upcoming"))))</f>
        <v/>
      </c>
    </row>
    <row r="323" customFormat="false" ht="15" hidden="false" customHeight="false" outlineLevel="0" collapsed="false">
      <c r="A323" s="24" t="n">
        <v>321</v>
      </c>
      <c r="C323" s="26"/>
      <c r="D323" s="25" t="n">
        <f aca="false">IFERROR(INDEX('DATA ENTRY'!$S:$S,MATCH(C323,'DATA ENTRY'!$B:$B,0)),"")</f>
        <v>0</v>
      </c>
      <c r="E323" s="25" t="n">
        <f aca="false">IFERROR(INDEX('DATA ENTRY'!$C:$C,MATCH(C323,'DATA ENTRY'!$B:$B,0)),"")</f>
        <v>0</v>
      </c>
      <c r="F323" s="25" t="n">
        <f aca="false">IFERROR(INDEX('DATA ENTRY'!$E:$E,MATCH(C323,'DATA ENTRY'!$B:$B,0)),"")</f>
        <v>0</v>
      </c>
      <c r="G323" s="34"/>
      <c r="H323" s="35"/>
      <c r="I323" s="35"/>
      <c r="J323" s="34"/>
      <c r="K323" s="27" t="str">
        <f aca="false">IF(H323="","",MAX(0,H323-IF(I323="",0,I323)))</f>
        <v/>
      </c>
      <c r="L323" s="25" t="str">
        <f aca="true">IF(H323="","",IF(I323&gt;=H323,"✅ Paid",IF(G323&lt;TODAY(),"🔴 Overdue",IF(G323&lt;=TODAY()+90,"🟡 Due Soon","⬜ Upcoming"))))</f>
        <v/>
      </c>
    </row>
    <row r="324" customFormat="false" ht="15" hidden="false" customHeight="false" outlineLevel="0" collapsed="false">
      <c r="A324" s="24" t="n">
        <v>322</v>
      </c>
      <c r="C324" s="26"/>
      <c r="D324" s="25" t="n">
        <f aca="false">IFERROR(INDEX('DATA ENTRY'!$S:$S,MATCH(C324,'DATA ENTRY'!$B:$B,0)),"")</f>
        <v>0</v>
      </c>
      <c r="E324" s="25" t="n">
        <f aca="false">IFERROR(INDEX('DATA ENTRY'!$C:$C,MATCH(C324,'DATA ENTRY'!$B:$B,0)),"")</f>
        <v>0</v>
      </c>
      <c r="F324" s="25" t="n">
        <f aca="false">IFERROR(INDEX('DATA ENTRY'!$E:$E,MATCH(C324,'DATA ENTRY'!$B:$B,0)),"")</f>
        <v>0</v>
      </c>
      <c r="G324" s="34"/>
      <c r="H324" s="35"/>
      <c r="I324" s="35"/>
      <c r="J324" s="34"/>
      <c r="K324" s="27" t="str">
        <f aca="false">IF(H324="","",MAX(0,H324-IF(I324="",0,I324)))</f>
        <v/>
      </c>
      <c r="L324" s="25" t="str">
        <f aca="true">IF(H324="","",IF(I324&gt;=H324,"✅ Paid",IF(G324&lt;TODAY(),"🔴 Overdue",IF(G324&lt;=TODAY()+90,"🟡 Due Soon","⬜ Upcoming"))))</f>
        <v/>
      </c>
    </row>
    <row r="325" customFormat="false" ht="15" hidden="false" customHeight="false" outlineLevel="0" collapsed="false">
      <c r="A325" s="24" t="n">
        <v>323</v>
      </c>
      <c r="C325" s="26"/>
      <c r="D325" s="25" t="n">
        <f aca="false">IFERROR(INDEX('DATA ENTRY'!$S:$S,MATCH(C325,'DATA ENTRY'!$B:$B,0)),"")</f>
        <v>0</v>
      </c>
      <c r="E325" s="25" t="n">
        <f aca="false">IFERROR(INDEX('DATA ENTRY'!$C:$C,MATCH(C325,'DATA ENTRY'!$B:$B,0)),"")</f>
        <v>0</v>
      </c>
      <c r="F325" s="25" t="n">
        <f aca="false">IFERROR(INDEX('DATA ENTRY'!$E:$E,MATCH(C325,'DATA ENTRY'!$B:$B,0)),"")</f>
        <v>0</v>
      </c>
      <c r="G325" s="34"/>
      <c r="H325" s="35"/>
      <c r="I325" s="35"/>
      <c r="J325" s="34"/>
      <c r="K325" s="27" t="str">
        <f aca="false">IF(H325="","",MAX(0,H325-IF(I325="",0,I325)))</f>
        <v/>
      </c>
      <c r="L325" s="25" t="str">
        <f aca="true">IF(H325="","",IF(I325&gt;=H325,"✅ Paid",IF(G325&lt;TODAY(),"🔴 Overdue",IF(G325&lt;=TODAY()+90,"🟡 Due Soon","⬜ Upcoming"))))</f>
        <v/>
      </c>
    </row>
    <row r="326" customFormat="false" ht="15" hidden="false" customHeight="false" outlineLevel="0" collapsed="false">
      <c r="A326" s="24" t="n">
        <v>324</v>
      </c>
      <c r="C326" s="26"/>
      <c r="D326" s="25" t="n">
        <f aca="false">IFERROR(INDEX('DATA ENTRY'!$S:$S,MATCH(C326,'DATA ENTRY'!$B:$B,0)),"")</f>
        <v>0</v>
      </c>
      <c r="E326" s="25" t="n">
        <f aca="false">IFERROR(INDEX('DATA ENTRY'!$C:$C,MATCH(C326,'DATA ENTRY'!$B:$B,0)),"")</f>
        <v>0</v>
      </c>
      <c r="F326" s="25" t="n">
        <f aca="false">IFERROR(INDEX('DATA ENTRY'!$E:$E,MATCH(C326,'DATA ENTRY'!$B:$B,0)),"")</f>
        <v>0</v>
      </c>
      <c r="G326" s="34"/>
      <c r="H326" s="35"/>
      <c r="I326" s="35"/>
      <c r="J326" s="34"/>
      <c r="K326" s="27" t="str">
        <f aca="false">IF(H326="","",MAX(0,H326-IF(I326="",0,I326)))</f>
        <v/>
      </c>
      <c r="L326" s="25" t="str">
        <f aca="true">IF(H326="","",IF(I326&gt;=H326,"✅ Paid",IF(G326&lt;TODAY(),"🔴 Overdue",IF(G326&lt;=TODAY()+90,"🟡 Due Soon","⬜ Upcoming"))))</f>
        <v/>
      </c>
    </row>
    <row r="327" customFormat="false" ht="15" hidden="false" customHeight="false" outlineLevel="0" collapsed="false">
      <c r="A327" s="24" t="n">
        <v>325</v>
      </c>
      <c r="C327" s="26"/>
      <c r="D327" s="25" t="n">
        <f aca="false">IFERROR(INDEX('DATA ENTRY'!$S:$S,MATCH(C327,'DATA ENTRY'!$B:$B,0)),"")</f>
        <v>0</v>
      </c>
      <c r="E327" s="25" t="n">
        <f aca="false">IFERROR(INDEX('DATA ENTRY'!$C:$C,MATCH(C327,'DATA ENTRY'!$B:$B,0)),"")</f>
        <v>0</v>
      </c>
      <c r="F327" s="25" t="n">
        <f aca="false">IFERROR(INDEX('DATA ENTRY'!$E:$E,MATCH(C327,'DATA ENTRY'!$B:$B,0)),"")</f>
        <v>0</v>
      </c>
      <c r="G327" s="34"/>
      <c r="H327" s="35"/>
      <c r="I327" s="35"/>
      <c r="J327" s="34"/>
      <c r="K327" s="27" t="str">
        <f aca="false">IF(H327="","",MAX(0,H327-IF(I327="",0,I327)))</f>
        <v/>
      </c>
      <c r="L327" s="25" t="str">
        <f aca="true">IF(H327="","",IF(I327&gt;=H327,"✅ Paid",IF(G327&lt;TODAY(),"🔴 Overdue",IF(G327&lt;=TODAY()+90,"🟡 Due Soon","⬜ Upcoming"))))</f>
        <v/>
      </c>
    </row>
    <row r="328" customFormat="false" ht="15" hidden="false" customHeight="false" outlineLevel="0" collapsed="false">
      <c r="A328" s="24" t="n">
        <v>326</v>
      </c>
      <c r="C328" s="26"/>
      <c r="D328" s="25" t="n">
        <f aca="false">IFERROR(INDEX('DATA ENTRY'!$S:$S,MATCH(C328,'DATA ENTRY'!$B:$B,0)),"")</f>
        <v>0</v>
      </c>
      <c r="E328" s="25" t="n">
        <f aca="false">IFERROR(INDEX('DATA ENTRY'!$C:$C,MATCH(C328,'DATA ENTRY'!$B:$B,0)),"")</f>
        <v>0</v>
      </c>
      <c r="F328" s="25" t="n">
        <f aca="false">IFERROR(INDEX('DATA ENTRY'!$E:$E,MATCH(C328,'DATA ENTRY'!$B:$B,0)),"")</f>
        <v>0</v>
      </c>
      <c r="G328" s="34"/>
      <c r="H328" s="35"/>
      <c r="I328" s="35"/>
      <c r="J328" s="34"/>
      <c r="K328" s="27" t="str">
        <f aca="false">IF(H328="","",MAX(0,H328-IF(I328="",0,I328)))</f>
        <v/>
      </c>
      <c r="L328" s="25" t="str">
        <f aca="true">IF(H328="","",IF(I328&gt;=H328,"✅ Paid",IF(G328&lt;TODAY(),"🔴 Overdue",IF(G328&lt;=TODAY()+90,"🟡 Due Soon","⬜ Upcoming"))))</f>
        <v/>
      </c>
    </row>
    <row r="329" customFormat="false" ht="15" hidden="false" customHeight="false" outlineLevel="0" collapsed="false">
      <c r="A329" s="24" t="n">
        <v>327</v>
      </c>
      <c r="C329" s="26"/>
      <c r="D329" s="25" t="n">
        <f aca="false">IFERROR(INDEX('DATA ENTRY'!$S:$S,MATCH(C329,'DATA ENTRY'!$B:$B,0)),"")</f>
        <v>0</v>
      </c>
      <c r="E329" s="25" t="n">
        <f aca="false">IFERROR(INDEX('DATA ENTRY'!$C:$C,MATCH(C329,'DATA ENTRY'!$B:$B,0)),"")</f>
        <v>0</v>
      </c>
      <c r="F329" s="25" t="n">
        <f aca="false">IFERROR(INDEX('DATA ENTRY'!$E:$E,MATCH(C329,'DATA ENTRY'!$B:$B,0)),"")</f>
        <v>0</v>
      </c>
      <c r="G329" s="34"/>
      <c r="H329" s="35"/>
      <c r="I329" s="35"/>
      <c r="J329" s="34"/>
      <c r="K329" s="27" t="str">
        <f aca="false">IF(H329="","",MAX(0,H329-IF(I329="",0,I329)))</f>
        <v/>
      </c>
      <c r="L329" s="25" t="str">
        <f aca="true">IF(H329="","",IF(I329&gt;=H329,"✅ Paid",IF(G329&lt;TODAY(),"🔴 Overdue",IF(G329&lt;=TODAY()+90,"🟡 Due Soon","⬜ Upcoming"))))</f>
        <v/>
      </c>
    </row>
    <row r="330" customFormat="false" ht="15" hidden="false" customHeight="false" outlineLevel="0" collapsed="false">
      <c r="A330" s="24" t="n">
        <v>328</v>
      </c>
      <c r="C330" s="26"/>
      <c r="D330" s="25" t="n">
        <f aca="false">IFERROR(INDEX('DATA ENTRY'!$S:$S,MATCH(C330,'DATA ENTRY'!$B:$B,0)),"")</f>
        <v>0</v>
      </c>
      <c r="E330" s="25" t="n">
        <f aca="false">IFERROR(INDEX('DATA ENTRY'!$C:$C,MATCH(C330,'DATA ENTRY'!$B:$B,0)),"")</f>
        <v>0</v>
      </c>
      <c r="F330" s="25" t="n">
        <f aca="false">IFERROR(INDEX('DATA ENTRY'!$E:$E,MATCH(C330,'DATA ENTRY'!$B:$B,0)),"")</f>
        <v>0</v>
      </c>
      <c r="G330" s="34"/>
      <c r="H330" s="35"/>
      <c r="I330" s="35"/>
      <c r="J330" s="34"/>
      <c r="K330" s="27" t="str">
        <f aca="false">IF(H330="","",MAX(0,H330-IF(I330="",0,I330)))</f>
        <v/>
      </c>
      <c r="L330" s="25" t="str">
        <f aca="true">IF(H330="","",IF(I330&gt;=H330,"✅ Paid",IF(G330&lt;TODAY(),"🔴 Overdue",IF(G330&lt;=TODAY()+90,"🟡 Due Soon","⬜ Upcoming"))))</f>
        <v/>
      </c>
    </row>
    <row r="331" customFormat="false" ht="15" hidden="false" customHeight="false" outlineLevel="0" collapsed="false">
      <c r="A331" s="24" t="n">
        <v>329</v>
      </c>
      <c r="C331" s="26"/>
      <c r="D331" s="25" t="n">
        <f aca="false">IFERROR(INDEX('DATA ENTRY'!$S:$S,MATCH(C331,'DATA ENTRY'!$B:$B,0)),"")</f>
        <v>0</v>
      </c>
      <c r="E331" s="25" t="n">
        <f aca="false">IFERROR(INDEX('DATA ENTRY'!$C:$C,MATCH(C331,'DATA ENTRY'!$B:$B,0)),"")</f>
        <v>0</v>
      </c>
      <c r="F331" s="25" t="n">
        <f aca="false">IFERROR(INDEX('DATA ENTRY'!$E:$E,MATCH(C331,'DATA ENTRY'!$B:$B,0)),"")</f>
        <v>0</v>
      </c>
      <c r="G331" s="34"/>
      <c r="H331" s="35"/>
      <c r="I331" s="35"/>
      <c r="J331" s="34"/>
      <c r="K331" s="27" t="str">
        <f aca="false">IF(H331="","",MAX(0,H331-IF(I331="",0,I331)))</f>
        <v/>
      </c>
      <c r="L331" s="25" t="str">
        <f aca="true">IF(H331="","",IF(I331&gt;=H331,"✅ Paid",IF(G331&lt;TODAY(),"🔴 Overdue",IF(G331&lt;=TODAY()+90,"🟡 Due Soon","⬜ Upcoming"))))</f>
        <v/>
      </c>
    </row>
    <row r="332" customFormat="false" ht="15" hidden="false" customHeight="false" outlineLevel="0" collapsed="false">
      <c r="A332" s="24" t="n">
        <v>330</v>
      </c>
      <c r="C332" s="26"/>
      <c r="D332" s="25" t="n">
        <f aca="false">IFERROR(INDEX('DATA ENTRY'!$S:$S,MATCH(C332,'DATA ENTRY'!$B:$B,0)),"")</f>
        <v>0</v>
      </c>
      <c r="E332" s="25" t="n">
        <f aca="false">IFERROR(INDEX('DATA ENTRY'!$C:$C,MATCH(C332,'DATA ENTRY'!$B:$B,0)),"")</f>
        <v>0</v>
      </c>
      <c r="F332" s="25" t="n">
        <f aca="false">IFERROR(INDEX('DATA ENTRY'!$E:$E,MATCH(C332,'DATA ENTRY'!$B:$B,0)),"")</f>
        <v>0</v>
      </c>
      <c r="G332" s="34"/>
      <c r="H332" s="35"/>
      <c r="I332" s="35"/>
      <c r="J332" s="34"/>
      <c r="K332" s="27" t="str">
        <f aca="false">IF(H332="","",MAX(0,H332-IF(I332="",0,I332)))</f>
        <v/>
      </c>
      <c r="L332" s="25" t="str">
        <f aca="true">IF(H332="","",IF(I332&gt;=H332,"✅ Paid",IF(G332&lt;TODAY(),"🔴 Overdue",IF(G332&lt;=TODAY()+90,"🟡 Due Soon","⬜ Upcoming"))))</f>
        <v/>
      </c>
    </row>
    <row r="333" customFormat="false" ht="15" hidden="false" customHeight="false" outlineLevel="0" collapsed="false">
      <c r="A333" s="24" t="n">
        <v>331</v>
      </c>
      <c r="C333" s="26"/>
      <c r="D333" s="25" t="n">
        <f aca="false">IFERROR(INDEX('DATA ENTRY'!$S:$S,MATCH(C333,'DATA ENTRY'!$B:$B,0)),"")</f>
        <v>0</v>
      </c>
      <c r="E333" s="25" t="n">
        <f aca="false">IFERROR(INDEX('DATA ENTRY'!$C:$C,MATCH(C333,'DATA ENTRY'!$B:$B,0)),"")</f>
        <v>0</v>
      </c>
      <c r="F333" s="25" t="n">
        <f aca="false">IFERROR(INDEX('DATA ENTRY'!$E:$E,MATCH(C333,'DATA ENTRY'!$B:$B,0)),"")</f>
        <v>0</v>
      </c>
      <c r="G333" s="34"/>
      <c r="H333" s="35"/>
      <c r="I333" s="35"/>
      <c r="J333" s="34"/>
      <c r="K333" s="27" t="str">
        <f aca="false">IF(H333="","",MAX(0,H333-IF(I333="",0,I333)))</f>
        <v/>
      </c>
      <c r="L333" s="25" t="str">
        <f aca="true">IF(H333="","",IF(I333&gt;=H333,"✅ Paid",IF(G333&lt;TODAY(),"🔴 Overdue",IF(G333&lt;=TODAY()+90,"🟡 Due Soon","⬜ Upcoming"))))</f>
        <v/>
      </c>
    </row>
    <row r="334" customFormat="false" ht="15" hidden="false" customHeight="false" outlineLevel="0" collapsed="false">
      <c r="A334" s="24" t="n">
        <v>332</v>
      </c>
      <c r="C334" s="26"/>
      <c r="D334" s="25" t="n">
        <f aca="false">IFERROR(INDEX('DATA ENTRY'!$S:$S,MATCH(C334,'DATA ENTRY'!$B:$B,0)),"")</f>
        <v>0</v>
      </c>
      <c r="E334" s="25" t="n">
        <f aca="false">IFERROR(INDEX('DATA ENTRY'!$C:$C,MATCH(C334,'DATA ENTRY'!$B:$B,0)),"")</f>
        <v>0</v>
      </c>
      <c r="F334" s="25" t="n">
        <f aca="false">IFERROR(INDEX('DATA ENTRY'!$E:$E,MATCH(C334,'DATA ENTRY'!$B:$B,0)),"")</f>
        <v>0</v>
      </c>
      <c r="G334" s="34"/>
      <c r="H334" s="35"/>
      <c r="I334" s="35"/>
      <c r="J334" s="34"/>
      <c r="K334" s="27" t="str">
        <f aca="false">IF(H334="","",MAX(0,H334-IF(I334="",0,I334)))</f>
        <v/>
      </c>
      <c r="L334" s="25" t="str">
        <f aca="true">IF(H334="","",IF(I334&gt;=H334,"✅ Paid",IF(G334&lt;TODAY(),"🔴 Overdue",IF(G334&lt;=TODAY()+90,"🟡 Due Soon","⬜ Upcoming"))))</f>
        <v/>
      </c>
    </row>
    <row r="335" customFormat="false" ht="15" hidden="false" customHeight="false" outlineLevel="0" collapsed="false">
      <c r="A335" s="24" t="n">
        <v>333</v>
      </c>
      <c r="C335" s="26"/>
      <c r="D335" s="25" t="n">
        <f aca="false">IFERROR(INDEX('DATA ENTRY'!$S:$S,MATCH(C335,'DATA ENTRY'!$B:$B,0)),"")</f>
        <v>0</v>
      </c>
      <c r="E335" s="25" t="n">
        <f aca="false">IFERROR(INDEX('DATA ENTRY'!$C:$C,MATCH(C335,'DATA ENTRY'!$B:$B,0)),"")</f>
        <v>0</v>
      </c>
      <c r="F335" s="25" t="n">
        <f aca="false">IFERROR(INDEX('DATA ENTRY'!$E:$E,MATCH(C335,'DATA ENTRY'!$B:$B,0)),"")</f>
        <v>0</v>
      </c>
      <c r="G335" s="34"/>
      <c r="H335" s="35"/>
      <c r="I335" s="35"/>
      <c r="J335" s="34"/>
      <c r="K335" s="27" t="str">
        <f aca="false">IF(H335="","",MAX(0,H335-IF(I335="",0,I335)))</f>
        <v/>
      </c>
      <c r="L335" s="25" t="str">
        <f aca="true">IF(H335="","",IF(I335&gt;=H335,"✅ Paid",IF(G335&lt;TODAY(),"🔴 Overdue",IF(G335&lt;=TODAY()+90,"🟡 Due Soon","⬜ Upcoming"))))</f>
        <v/>
      </c>
    </row>
    <row r="336" customFormat="false" ht="15" hidden="false" customHeight="false" outlineLevel="0" collapsed="false">
      <c r="A336" s="24" t="n">
        <v>334</v>
      </c>
      <c r="C336" s="26"/>
      <c r="D336" s="25" t="n">
        <f aca="false">IFERROR(INDEX('DATA ENTRY'!$S:$S,MATCH(C336,'DATA ENTRY'!$B:$B,0)),"")</f>
        <v>0</v>
      </c>
      <c r="E336" s="25" t="n">
        <f aca="false">IFERROR(INDEX('DATA ENTRY'!$C:$C,MATCH(C336,'DATA ENTRY'!$B:$B,0)),"")</f>
        <v>0</v>
      </c>
      <c r="F336" s="25" t="n">
        <f aca="false">IFERROR(INDEX('DATA ENTRY'!$E:$E,MATCH(C336,'DATA ENTRY'!$B:$B,0)),"")</f>
        <v>0</v>
      </c>
      <c r="G336" s="34"/>
      <c r="H336" s="35"/>
      <c r="I336" s="35"/>
      <c r="J336" s="34"/>
      <c r="K336" s="27" t="str">
        <f aca="false">IF(H336="","",MAX(0,H336-IF(I336="",0,I336)))</f>
        <v/>
      </c>
      <c r="L336" s="25" t="str">
        <f aca="true">IF(H336="","",IF(I336&gt;=H336,"✅ Paid",IF(G336&lt;TODAY(),"🔴 Overdue",IF(G336&lt;=TODAY()+90,"🟡 Due Soon","⬜ Upcoming"))))</f>
        <v/>
      </c>
    </row>
    <row r="337" customFormat="false" ht="15" hidden="false" customHeight="false" outlineLevel="0" collapsed="false">
      <c r="A337" s="24" t="n">
        <v>335</v>
      </c>
      <c r="C337" s="26"/>
      <c r="D337" s="25" t="n">
        <f aca="false">IFERROR(INDEX('DATA ENTRY'!$S:$S,MATCH(C337,'DATA ENTRY'!$B:$B,0)),"")</f>
        <v>0</v>
      </c>
      <c r="E337" s="25" t="n">
        <f aca="false">IFERROR(INDEX('DATA ENTRY'!$C:$C,MATCH(C337,'DATA ENTRY'!$B:$B,0)),"")</f>
        <v>0</v>
      </c>
      <c r="F337" s="25" t="n">
        <f aca="false">IFERROR(INDEX('DATA ENTRY'!$E:$E,MATCH(C337,'DATA ENTRY'!$B:$B,0)),"")</f>
        <v>0</v>
      </c>
      <c r="G337" s="34"/>
      <c r="H337" s="35"/>
      <c r="I337" s="35"/>
      <c r="J337" s="34"/>
      <c r="K337" s="27" t="str">
        <f aca="false">IF(H337="","",MAX(0,H337-IF(I337="",0,I337)))</f>
        <v/>
      </c>
      <c r="L337" s="25" t="str">
        <f aca="true">IF(H337="","",IF(I337&gt;=H337,"✅ Paid",IF(G337&lt;TODAY(),"🔴 Overdue",IF(G337&lt;=TODAY()+90,"🟡 Due Soon","⬜ Upcoming"))))</f>
        <v/>
      </c>
    </row>
    <row r="338" customFormat="false" ht="15" hidden="false" customHeight="false" outlineLevel="0" collapsed="false">
      <c r="A338" s="24" t="n">
        <v>336</v>
      </c>
      <c r="C338" s="26"/>
      <c r="D338" s="25" t="n">
        <f aca="false">IFERROR(INDEX('DATA ENTRY'!$S:$S,MATCH(C338,'DATA ENTRY'!$B:$B,0)),"")</f>
        <v>0</v>
      </c>
      <c r="E338" s="25" t="n">
        <f aca="false">IFERROR(INDEX('DATA ENTRY'!$C:$C,MATCH(C338,'DATA ENTRY'!$B:$B,0)),"")</f>
        <v>0</v>
      </c>
      <c r="F338" s="25" t="n">
        <f aca="false">IFERROR(INDEX('DATA ENTRY'!$E:$E,MATCH(C338,'DATA ENTRY'!$B:$B,0)),"")</f>
        <v>0</v>
      </c>
      <c r="G338" s="34"/>
      <c r="H338" s="35"/>
      <c r="I338" s="35"/>
      <c r="J338" s="34"/>
      <c r="K338" s="27" t="str">
        <f aca="false">IF(H338="","",MAX(0,H338-IF(I338="",0,I338)))</f>
        <v/>
      </c>
      <c r="L338" s="25" t="str">
        <f aca="true">IF(H338="","",IF(I338&gt;=H338,"✅ Paid",IF(G338&lt;TODAY(),"🔴 Overdue",IF(G338&lt;=TODAY()+90,"🟡 Due Soon","⬜ Upcoming"))))</f>
        <v/>
      </c>
    </row>
    <row r="339" customFormat="false" ht="15" hidden="false" customHeight="false" outlineLevel="0" collapsed="false">
      <c r="A339" s="24" t="n">
        <v>337</v>
      </c>
      <c r="C339" s="26"/>
      <c r="D339" s="25" t="n">
        <f aca="false">IFERROR(INDEX('DATA ENTRY'!$S:$S,MATCH(C339,'DATA ENTRY'!$B:$B,0)),"")</f>
        <v>0</v>
      </c>
      <c r="E339" s="25" t="n">
        <f aca="false">IFERROR(INDEX('DATA ENTRY'!$C:$C,MATCH(C339,'DATA ENTRY'!$B:$B,0)),"")</f>
        <v>0</v>
      </c>
      <c r="F339" s="25" t="n">
        <f aca="false">IFERROR(INDEX('DATA ENTRY'!$E:$E,MATCH(C339,'DATA ENTRY'!$B:$B,0)),"")</f>
        <v>0</v>
      </c>
      <c r="G339" s="34"/>
      <c r="H339" s="35"/>
      <c r="I339" s="35"/>
      <c r="J339" s="34"/>
      <c r="K339" s="27" t="str">
        <f aca="false">IF(H339="","",MAX(0,H339-IF(I339="",0,I339)))</f>
        <v/>
      </c>
      <c r="L339" s="25" t="str">
        <f aca="true">IF(H339="","",IF(I339&gt;=H339,"✅ Paid",IF(G339&lt;TODAY(),"🔴 Overdue",IF(G339&lt;=TODAY()+90,"🟡 Due Soon","⬜ Upcoming"))))</f>
        <v/>
      </c>
    </row>
    <row r="340" customFormat="false" ht="15" hidden="false" customHeight="false" outlineLevel="0" collapsed="false">
      <c r="A340" s="24" t="n">
        <v>338</v>
      </c>
      <c r="C340" s="26"/>
      <c r="D340" s="25" t="n">
        <f aca="false">IFERROR(INDEX('DATA ENTRY'!$S:$S,MATCH(C340,'DATA ENTRY'!$B:$B,0)),"")</f>
        <v>0</v>
      </c>
      <c r="E340" s="25" t="n">
        <f aca="false">IFERROR(INDEX('DATA ENTRY'!$C:$C,MATCH(C340,'DATA ENTRY'!$B:$B,0)),"")</f>
        <v>0</v>
      </c>
      <c r="F340" s="25" t="n">
        <f aca="false">IFERROR(INDEX('DATA ENTRY'!$E:$E,MATCH(C340,'DATA ENTRY'!$B:$B,0)),"")</f>
        <v>0</v>
      </c>
      <c r="G340" s="34"/>
      <c r="H340" s="35"/>
      <c r="I340" s="35"/>
      <c r="J340" s="34"/>
      <c r="K340" s="27" t="str">
        <f aca="false">IF(H340="","",MAX(0,H340-IF(I340="",0,I340)))</f>
        <v/>
      </c>
      <c r="L340" s="25" t="str">
        <f aca="true">IF(H340="","",IF(I340&gt;=H340,"✅ Paid",IF(G340&lt;TODAY(),"🔴 Overdue",IF(G340&lt;=TODAY()+90,"🟡 Due Soon","⬜ Upcoming"))))</f>
        <v/>
      </c>
    </row>
    <row r="341" customFormat="false" ht="15" hidden="false" customHeight="false" outlineLevel="0" collapsed="false">
      <c r="A341" s="24" t="n">
        <v>339</v>
      </c>
      <c r="C341" s="26"/>
      <c r="D341" s="25" t="n">
        <f aca="false">IFERROR(INDEX('DATA ENTRY'!$S:$S,MATCH(C341,'DATA ENTRY'!$B:$B,0)),"")</f>
        <v>0</v>
      </c>
      <c r="E341" s="25" t="n">
        <f aca="false">IFERROR(INDEX('DATA ENTRY'!$C:$C,MATCH(C341,'DATA ENTRY'!$B:$B,0)),"")</f>
        <v>0</v>
      </c>
      <c r="F341" s="25" t="n">
        <f aca="false">IFERROR(INDEX('DATA ENTRY'!$E:$E,MATCH(C341,'DATA ENTRY'!$B:$B,0)),"")</f>
        <v>0</v>
      </c>
      <c r="G341" s="34"/>
      <c r="H341" s="35"/>
      <c r="I341" s="35"/>
      <c r="J341" s="34"/>
      <c r="K341" s="27" t="str">
        <f aca="false">IF(H341="","",MAX(0,H341-IF(I341="",0,I341)))</f>
        <v/>
      </c>
      <c r="L341" s="25" t="str">
        <f aca="true">IF(H341="","",IF(I341&gt;=H341,"✅ Paid",IF(G341&lt;TODAY(),"🔴 Overdue",IF(G341&lt;=TODAY()+90,"🟡 Due Soon","⬜ Upcoming"))))</f>
        <v/>
      </c>
    </row>
    <row r="342" customFormat="false" ht="15" hidden="false" customHeight="false" outlineLevel="0" collapsed="false">
      <c r="A342" s="24" t="n">
        <v>340</v>
      </c>
      <c r="C342" s="26"/>
      <c r="D342" s="25" t="n">
        <f aca="false">IFERROR(INDEX('DATA ENTRY'!$S:$S,MATCH(C342,'DATA ENTRY'!$B:$B,0)),"")</f>
        <v>0</v>
      </c>
      <c r="E342" s="25" t="n">
        <f aca="false">IFERROR(INDEX('DATA ENTRY'!$C:$C,MATCH(C342,'DATA ENTRY'!$B:$B,0)),"")</f>
        <v>0</v>
      </c>
      <c r="F342" s="25" t="n">
        <f aca="false">IFERROR(INDEX('DATA ENTRY'!$E:$E,MATCH(C342,'DATA ENTRY'!$B:$B,0)),"")</f>
        <v>0</v>
      </c>
      <c r="G342" s="34"/>
      <c r="H342" s="35"/>
      <c r="I342" s="35"/>
      <c r="J342" s="34"/>
      <c r="K342" s="27" t="str">
        <f aca="false">IF(H342="","",MAX(0,H342-IF(I342="",0,I342)))</f>
        <v/>
      </c>
      <c r="L342" s="25" t="str">
        <f aca="true">IF(H342="","",IF(I342&gt;=H342,"✅ Paid",IF(G342&lt;TODAY(),"🔴 Overdue",IF(G342&lt;=TODAY()+90,"🟡 Due Soon","⬜ Upcoming"))))</f>
        <v/>
      </c>
    </row>
    <row r="343" customFormat="false" ht="15" hidden="false" customHeight="false" outlineLevel="0" collapsed="false">
      <c r="A343" s="24" t="n">
        <v>341</v>
      </c>
      <c r="C343" s="26"/>
      <c r="D343" s="25" t="n">
        <f aca="false">IFERROR(INDEX('DATA ENTRY'!$S:$S,MATCH(C343,'DATA ENTRY'!$B:$B,0)),"")</f>
        <v>0</v>
      </c>
      <c r="E343" s="25" t="n">
        <f aca="false">IFERROR(INDEX('DATA ENTRY'!$C:$C,MATCH(C343,'DATA ENTRY'!$B:$B,0)),"")</f>
        <v>0</v>
      </c>
      <c r="F343" s="25" t="n">
        <f aca="false">IFERROR(INDEX('DATA ENTRY'!$E:$E,MATCH(C343,'DATA ENTRY'!$B:$B,0)),"")</f>
        <v>0</v>
      </c>
      <c r="G343" s="34"/>
      <c r="H343" s="35"/>
      <c r="I343" s="35"/>
      <c r="J343" s="34"/>
      <c r="K343" s="27" t="str">
        <f aca="false">IF(H343="","",MAX(0,H343-IF(I343="",0,I343)))</f>
        <v/>
      </c>
      <c r="L343" s="25" t="str">
        <f aca="true">IF(H343="","",IF(I343&gt;=H343,"✅ Paid",IF(G343&lt;TODAY(),"🔴 Overdue",IF(G343&lt;=TODAY()+90,"🟡 Due Soon","⬜ Upcoming"))))</f>
        <v/>
      </c>
    </row>
    <row r="344" customFormat="false" ht="15" hidden="false" customHeight="false" outlineLevel="0" collapsed="false">
      <c r="A344" s="24" t="n">
        <v>342</v>
      </c>
      <c r="C344" s="26"/>
      <c r="D344" s="25" t="n">
        <f aca="false">IFERROR(INDEX('DATA ENTRY'!$S:$S,MATCH(C344,'DATA ENTRY'!$B:$B,0)),"")</f>
        <v>0</v>
      </c>
      <c r="E344" s="25" t="n">
        <f aca="false">IFERROR(INDEX('DATA ENTRY'!$C:$C,MATCH(C344,'DATA ENTRY'!$B:$B,0)),"")</f>
        <v>0</v>
      </c>
      <c r="F344" s="25" t="n">
        <f aca="false">IFERROR(INDEX('DATA ENTRY'!$E:$E,MATCH(C344,'DATA ENTRY'!$B:$B,0)),"")</f>
        <v>0</v>
      </c>
      <c r="G344" s="34"/>
      <c r="H344" s="35"/>
      <c r="I344" s="35"/>
      <c r="J344" s="34"/>
      <c r="K344" s="27" t="str">
        <f aca="false">IF(H344="","",MAX(0,H344-IF(I344="",0,I344)))</f>
        <v/>
      </c>
      <c r="L344" s="25" t="str">
        <f aca="true">IF(H344="","",IF(I344&gt;=H344,"✅ Paid",IF(G344&lt;TODAY(),"🔴 Overdue",IF(G344&lt;=TODAY()+90,"🟡 Due Soon","⬜ Upcoming"))))</f>
        <v/>
      </c>
    </row>
    <row r="345" customFormat="false" ht="15" hidden="false" customHeight="false" outlineLevel="0" collapsed="false">
      <c r="A345" s="24" t="n">
        <v>343</v>
      </c>
      <c r="C345" s="26"/>
      <c r="D345" s="25" t="n">
        <f aca="false">IFERROR(INDEX('DATA ENTRY'!$S:$S,MATCH(C345,'DATA ENTRY'!$B:$B,0)),"")</f>
        <v>0</v>
      </c>
      <c r="E345" s="25" t="n">
        <f aca="false">IFERROR(INDEX('DATA ENTRY'!$C:$C,MATCH(C345,'DATA ENTRY'!$B:$B,0)),"")</f>
        <v>0</v>
      </c>
      <c r="F345" s="25" t="n">
        <f aca="false">IFERROR(INDEX('DATA ENTRY'!$E:$E,MATCH(C345,'DATA ENTRY'!$B:$B,0)),"")</f>
        <v>0</v>
      </c>
      <c r="G345" s="34"/>
      <c r="H345" s="35"/>
      <c r="I345" s="35"/>
      <c r="J345" s="34"/>
      <c r="K345" s="27" t="str">
        <f aca="false">IF(H345="","",MAX(0,H345-IF(I345="",0,I345)))</f>
        <v/>
      </c>
      <c r="L345" s="25" t="str">
        <f aca="true">IF(H345="","",IF(I345&gt;=H345,"✅ Paid",IF(G345&lt;TODAY(),"🔴 Overdue",IF(G345&lt;=TODAY()+90,"🟡 Due Soon","⬜ Upcoming"))))</f>
        <v/>
      </c>
    </row>
    <row r="346" customFormat="false" ht="15" hidden="false" customHeight="false" outlineLevel="0" collapsed="false">
      <c r="A346" s="24" t="n">
        <v>344</v>
      </c>
      <c r="C346" s="26"/>
      <c r="D346" s="25" t="n">
        <f aca="false">IFERROR(INDEX('DATA ENTRY'!$S:$S,MATCH(C346,'DATA ENTRY'!$B:$B,0)),"")</f>
        <v>0</v>
      </c>
      <c r="E346" s="25" t="n">
        <f aca="false">IFERROR(INDEX('DATA ENTRY'!$C:$C,MATCH(C346,'DATA ENTRY'!$B:$B,0)),"")</f>
        <v>0</v>
      </c>
      <c r="F346" s="25" t="n">
        <f aca="false">IFERROR(INDEX('DATA ENTRY'!$E:$E,MATCH(C346,'DATA ENTRY'!$B:$B,0)),"")</f>
        <v>0</v>
      </c>
      <c r="G346" s="34"/>
      <c r="H346" s="35"/>
      <c r="I346" s="35"/>
      <c r="J346" s="34"/>
      <c r="K346" s="27" t="str">
        <f aca="false">IF(H346="","",MAX(0,H346-IF(I346="",0,I346)))</f>
        <v/>
      </c>
      <c r="L346" s="25" t="str">
        <f aca="true">IF(H346="","",IF(I346&gt;=H346,"✅ Paid",IF(G346&lt;TODAY(),"🔴 Overdue",IF(G346&lt;=TODAY()+90,"🟡 Due Soon","⬜ Upcoming"))))</f>
        <v/>
      </c>
    </row>
    <row r="347" customFormat="false" ht="15" hidden="false" customHeight="false" outlineLevel="0" collapsed="false">
      <c r="A347" s="24" t="n">
        <v>345</v>
      </c>
      <c r="C347" s="26"/>
      <c r="D347" s="25" t="n">
        <f aca="false">IFERROR(INDEX('DATA ENTRY'!$S:$S,MATCH(C347,'DATA ENTRY'!$B:$B,0)),"")</f>
        <v>0</v>
      </c>
      <c r="E347" s="25" t="n">
        <f aca="false">IFERROR(INDEX('DATA ENTRY'!$C:$C,MATCH(C347,'DATA ENTRY'!$B:$B,0)),"")</f>
        <v>0</v>
      </c>
      <c r="F347" s="25" t="n">
        <f aca="false">IFERROR(INDEX('DATA ENTRY'!$E:$E,MATCH(C347,'DATA ENTRY'!$B:$B,0)),"")</f>
        <v>0</v>
      </c>
      <c r="G347" s="34"/>
      <c r="H347" s="35"/>
      <c r="I347" s="35"/>
      <c r="J347" s="34"/>
      <c r="K347" s="27" t="str">
        <f aca="false">IF(H347="","",MAX(0,H347-IF(I347="",0,I347)))</f>
        <v/>
      </c>
      <c r="L347" s="25" t="str">
        <f aca="true">IF(H347="","",IF(I347&gt;=H347,"✅ Paid",IF(G347&lt;TODAY(),"🔴 Overdue",IF(G347&lt;=TODAY()+90,"🟡 Due Soon","⬜ Upcoming"))))</f>
        <v/>
      </c>
    </row>
    <row r="348" customFormat="false" ht="15" hidden="false" customHeight="false" outlineLevel="0" collapsed="false">
      <c r="A348" s="24" t="n">
        <v>346</v>
      </c>
      <c r="C348" s="26"/>
      <c r="D348" s="25" t="n">
        <f aca="false">IFERROR(INDEX('DATA ENTRY'!$S:$S,MATCH(C348,'DATA ENTRY'!$B:$B,0)),"")</f>
        <v>0</v>
      </c>
      <c r="E348" s="25" t="n">
        <f aca="false">IFERROR(INDEX('DATA ENTRY'!$C:$C,MATCH(C348,'DATA ENTRY'!$B:$B,0)),"")</f>
        <v>0</v>
      </c>
      <c r="F348" s="25" t="n">
        <f aca="false">IFERROR(INDEX('DATA ENTRY'!$E:$E,MATCH(C348,'DATA ENTRY'!$B:$B,0)),"")</f>
        <v>0</v>
      </c>
      <c r="G348" s="34"/>
      <c r="H348" s="35"/>
      <c r="I348" s="35"/>
      <c r="J348" s="34"/>
      <c r="K348" s="27" t="str">
        <f aca="false">IF(H348="","",MAX(0,H348-IF(I348="",0,I348)))</f>
        <v/>
      </c>
      <c r="L348" s="25" t="str">
        <f aca="true">IF(H348="","",IF(I348&gt;=H348,"✅ Paid",IF(G348&lt;TODAY(),"🔴 Overdue",IF(G348&lt;=TODAY()+90,"🟡 Due Soon","⬜ Upcoming"))))</f>
        <v/>
      </c>
    </row>
    <row r="349" customFormat="false" ht="15" hidden="false" customHeight="false" outlineLevel="0" collapsed="false">
      <c r="A349" s="24" t="n">
        <v>347</v>
      </c>
      <c r="C349" s="26"/>
      <c r="D349" s="25" t="n">
        <f aca="false">IFERROR(INDEX('DATA ENTRY'!$S:$S,MATCH(C349,'DATA ENTRY'!$B:$B,0)),"")</f>
        <v>0</v>
      </c>
      <c r="E349" s="25" t="n">
        <f aca="false">IFERROR(INDEX('DATA ENTRY'!$C:$C,MATCH(C349,'DATA ENTRY'!$B:$B,0)),"")</f>
        <v>0</v>
      </c>
      <c r="F349" s="25" t="n">
        <f aca="false">IFERROR(INDEX('DATA ENTRY'!$E:$E,MATCH(C349,'DATA ENTRY'!$B:$B,0)),"")</f>
        <v>0</v>
      </c>
      <c r="G349" s="34"/>
      <c r="H349" s="35"/>
      <c r="I349" s="35"/>
      <c r="J349" s="34"/>
      <c r="K349" s="27" t="str">
        <f aca="false">IF(H349="","",MAX(0,H349-IF(I349="",0,I349)))</f>
        <v/>
      </c>
      <c r="L349" s="25" t="str">
        <f aca="true">IF(H349="","",IF(I349&gt;=H349,"✅ Paid",IF(G349&lt;TODAY(),"🔴 Overdue",IF(G349&lt;=TODAY()+90,"🟡 Due Soon","⬜ Upcoming"))))</f>
        <v/>
      </c>
    </row>
    <row r="350" customFormat="false" ht="15" hidden="false" customHeight="false" outlineLevel="0" collapsed="false">
      <c r="A350" s="24" t="n">
        <v>348</v>
      </c>
      <c r="C350" s="26"/>
      <c r="D350" s="25" t="n">
        <f aca="false">IFERROR(INDEX('DATA ENTRY'!$S:$S,MATCH(C350,'DATA ENTRY'!$B:$B,0)),"")</f>
        <v>0</v>
      </c>
      <c r="E350" s="25" t="n">
        <f aca="false">IFERROR(INDEX('DATA ENTRY'!$C:$C,MATCH(C350,'DATA ENTRY'!$B:$B,0)),"")</f>
        <v>0</v>
      </c>
      <c r="F350" s="25" t="n">
        <f aca="false">IFERROR(INDEX('DATA ENTRY'!$E:$E,MATCH(C350,'DATA ENTRY'!$B:$B,0)),"")</f>
        <v>0</v>
      </c>
      <c r="G350" s="34"/>
      <c r="H350" s="35"/>
      <c r="I350" s="35"/>
      <c r="J350" s="34"/>
      <c r="K350" s="27" t="str">
        <f aca="false">IF(H350="","",MAX(0,H350-IF(I350="",0,I350)))</f>
        <v/>
      </c>
      <c r="L350" s="25" t="str">
        <f aca="true">IF(H350="","",IF(I350&gt;=H350,"✅ Paid",IF(G350&lt;TODAY(),"🔴 Overdue",IF(G350&lt;=TODAY()+90,"🟡 Due Soon","⬜ Upcoming"))))</f>
        <v/>
      </c>
    </row>
    <row r="351" customFormat="false" ht="15" hidden="false" customHeight="false" outlineLevel="0" collapsed="false">
      <c r="A351" s="24" t="n">
        <v>349</v>
      </c>
      <c r="C351" s="26"/>
      <c r="D351" s="25" t="n">
        <f aca="false">IFERROR(INDEX('DATA ENTRY'!$S:$S,MATCH(C351,'DATA ENTRY'!$B:$B,0)),"")</f>
        <v>0</v>
      </c>
      <c r="E351" s="25" t="n">
        <f aca="false">IFERROR(INDEX('DATA ENTRY'!$C:$C,MATCH(C351,'DATA ENTRY'!$B:$B,0)),"")</f>
        <v>0</v>
      </c>
      <c r="F351" s="25" t="n">
        <f aca="false">IFERROR(INDEX('DATA ENTRY'!$E:$E,MATCH(C351,'DATA ENTRY'!$B:$B,0)),"")</f>
        <v>0</v>
      </c>
      <c r="G351" s="34"/>
      <c r="H351" s="35"/>
      <c r="I351" s="35"/>
      <c r="J351" s="34"/>
      <c r="K351" s="27" t="str">
        <f aca="false">IF(H351="","",MAX(0,H351-IF(I351="",0,I351)))</f>
        <v/>
      </c>
      <c r="L351" s="25" t="str">
        <f aca="true">IF(H351="","",IF(I351&gt;=H351,"✅ Paid",IF(G351&lt;TODAY(),"🔴 Overdue",IF(G351&lt;=TODAY()+90,"🟡 Due Soon","⬜ Upcoming"))))</f>
        <v/>
      </c>
    </row>
    <row r="352" customFormat="false" ht="15" hidden="false" customHeight="false" outlineLevel="0" collapsed="false">
      <c r="A352" s="24" t="n">
        <v>350</v>
      </c>
      <c r="C352" s="26"/>
      <c r="D352" s="25" t="n">
        <f aca="false">IFERROR(INDEX('DATA ENTRY'!$S:$S,MATCH(C352,'DATA ENTRY'!$B:$B,0)),"")</f>
        <v>0</v>
      </c>
      <c r="E352" s="25" t="n">
        <f aca="false">IFERROR(INDEX('DATA ENTRY'!$C:$C,MATCH(C352,'DATA ENTRY'!$B:$B,0)),"")</f>
        <v>0</v>
      </c>
      <c r="F352" s="25" t="n">
        <f aca="false">IFERROR(INDEX('DATA ENTRY'!$E:$E,MATCH(C352,'DATA ENTRY'!$B:$B,0)),"")</f>
        <v>0</v>
      </c>
      <c r="G352" s="34"/>
      <c r="H352" s="35"/>
      <c r="I352" s="35"/>
      <c r="J352" s="34"/>
      <c r="K352" s="27" t="str">
        <f aca="false">IF(H352="","",MAX(0,H352-IF(I352="",0,I352)))</f>
        <v/>
      </c>
      <c r="L352" s="25" t="str">
        <f aca="true">IF(H352="","",IF(I352&gt;=H352,"✅ Paid",IF(G352&lt;TODAY(),"🔴 Overdue",IF(G352&lt;=TODAY()+90,"🟡 Due Soon","⬜ Upcoming"))))</f>
        <v/>
      </c>
    </row>
    <row r="353" customFormat="false" ht="15" hidden="false" customHeight="false" outlineLevel="0" collapsed="false">
      <c r="A353" s="24" t="n">
        <v>351</v>
      </c>
      <c r="C353" s="26"/>
      <c r="D353" s="25" t="n">
        <f aca="false">IFERROR(INDEX('DATA ENTRY'!$S:$S,MATCH(C353,'DATA ENTRY'!$B:$B,0)),"")</f>
        <v>0</v>
      </c>
      <c r="E353" s="25" t="n">
        <f aca="false">IFERROR(INDEX('DATA ENTRY'!$C:$C,MATCH(C353,'DATA ENTRY'!$B:$B,0)),"")</f>
        <v>0</v>
      </c>
      <c r="F353" s="25" t="n">
        <f aca="false">IFERROR(INDEX('DATA ENTRY'!$E:$E,MATCH(C353,'DATA ENTRY'!$B:$B,0)),"")</f>
        <v>0</v>
      </c>
      <c r="G353" s="34"/>
      <c r="H353" s="35"/>
      <c r="I353" s="35"/>
      <c r="J353" s="34"/>
      <c r="K353" s="27" t="str">
        <f aca="false">IF(H353="","",MAX(0,H353-IF(I353="",0,I353)))</f>
        <v/>
      </c>
      <c r="L353" s="25" t="str">
        <f aca="true">IF(H353="","",IF(I353&gt;=H353,"✅ Paid",IF(G353&lt;TODAY(),"🔴 Overdue",IF(G353&lt;=TODAY()+90,"🟡 Due Soon","⬜ Upcoming"))))</f>
        <v/>
      </c>
    </row>
    <row r="354" customFormat="false" ht="15" hidden="false" customHeight="false" outlineLevel="0" collapsed="false">
      <c r="A354" s="24" t="n">
        <v>352</v>
      </c>
      <c r="C354" s="26"/>
      <c r="D354" s="25" t="n">
        <f aca="false">IFERROR(INDEX('DATA ENTRY'!$S:$S,MATCH(C354,'DATA ENTRY'!$B:$B,0)),"")</f>
        <v>0</v>
      </c>
      <c r="E354" s="25" t="n">
        <f aca="false">IFERROR(INDEX('DATA ENTRY'!$C:$C,MATCH(C354,'DATA ENTRY'!$B:$B,0)),"")</f>
        <v>0</v>
      </c>
      <c r="F354" s="25" t="n">
        <f aca="false">IFERROR(INDEX('DATA ENTRY'!$E:$E,MATCH(C354,'DATA ENTRY'!$B:$B,0)),"")</f>
        <v>0</v>
      </c>
      <c r="G354" s="34"/>
      <c r="H354" s="35"/>
      <c r="I354" s="35"/>
      <c r="J354" s="34"/>
      <c r="K354" s="27" t="str">
        <f aca="false">IF(H354="","",MAX(0,H354-IF(I354="",0,I354)))</f>
        <v/>
      </c>
      <c r="L354" s="25" t="str">
        <f aca="true">IF(H354="","",IF(I354&gt;=H354,"✅ Paid",IF(G354&lt;TODAY(),"🔴 Overdue",IF(G354&lt;=TODAY()+90,"🟡 Due Soon","⬜ Upcoming"))))</f>
        <v/>
      </c>
    </row>
    <row r="355" customFormat="false" ht="15" hidden="false" customHeight="false" outlineLevel="0" collapsed="false">
      <c r="A355" s="24" t="n">
        <v>353</v>
      </c>
      <c r="C355" s="26"/>
      <c r="D355" s="25" t="n">
        <f aca="false">IFERROR(INDEX('DATA ENTRY'!$S:$S,MATCH(C355,'DATA ENTRY'!$B:$B,0)),"")</f>
        <v>0</v>
      </c>
      <c r="E355" s="25" t="n">
        <f aca="false">IFERROR(INDEX('DATA ENTRY'!$C:$C,MATCH(C355,'DATA ENTRY'!$B:$B,0)),"")</f>
        <v>0</v>
      </c>
      <c r="F355" s="25" t="n">
        <f aca="false">IFERROR(INDEX('DATA ENTRY'!$E:$E,MATCH(C355,'DATA ENTRY'!$B:$B,0)),"")</f>
        <v>0</v>
      </c>
      <c r="G355" s="34"/>
      <c r="H355" s="35"/>
      <c r="I355" s="35"/>
      <c r="J355" s="34"/>
      <c r="K355" s="27" t="str">
        <f aca="false">IF(H355="","",MAX(0,H355-IF(I355="",0,I355)))</f>
        <v/>
      </c>
      <c r="L355" s="25" t="str">
        <f aca="true">IF(H355="","",IF(I355&gt;=H355,"✅ Paid",IF(G355&lt;TODAY(),"🔴 Overdue",IF(G355&lt;=TODAY()+90,"🟡 Due Soon","⬜ Upcoming"))))</f>
        <v/>
      </c>
    </row>
    <row r="356" customFormat="false" ht="15" hidden="false" customHeight="false" outlineLevel="0" collapsed="false">
      <c r="A356" s="24" t="n">
        <v>354</v>
      </c>
      <c r="C356" s="26"/>
      <c r="D356" s="25" t="n">
        <f aca="false">IFERROR(INDEX('DATA ENTRY'!$S:$S,MATCH(C356,'DATA ENTRY'!$B:$B,0)),"")</f>
        <v>0</v>
      </c>
      <c r="E356" s="25" t="n">
        <f aca="false">IFERROR(INDEX('DATA ENTRY'!$C:$C,MATCH(C356,'DATA ENTRY'!$B:$B,0)),"")</f>
        <v>0</v>
      </c>
      <c r="F356" s="25" t="n">
        <f aca="false">IFERROR(INDEX('DATA ENTRY'!$E:$E,MATCH(C356,'DATA ENTRY'!$B:$B,0)),"")</f>
        <v>0</v>
      </c>
      <c r="G356" s="34"/>
      <c r="H356" s="35"/>
      <c r="I356" s="35"/>
      <c r="J356" s="34"/>
      <c r="K356" s="27" t="str">
        <f aca="false">IF(H356="","",MAX(0,H356-IF(I356="",0,I356)))</f>
        <v/>
      </c>
      <c r="L356" s="25" t="str">
        <f aca="true">IF(H356="","",IF(I356&gt;=H356,"✅ Paid",IF(G356&lt;TODAY(),"🔴 Overdue",IF(G356&lt;=TODAY()+90,"🟡 Due Soon","⬜ Upcoming"))))</f>
        <v/>
      </c>
    </row>
    <row r="357" customFormat="false" ht="15" hidden="false" customHeight="false" outlineLevel="0" collapsed="false">
      <c r="A357" s="24" t="n">
        <v>355</v>
      </c>
      <c r="C357" s="26"/>
      <c r="D357" s="25" t="n">
        <f aca="false">IFERROR(INDEX('DATA ENTRY'!$S:$S,MATCH(C357,'DATA ENTRY'!$B:$B,0)),"")</f>
        <v>0</v>
      </c>
      <c r="E357" s="25" t="n">
        <f aca="false">IFERROR(INDEX('DATA ENTRY'!$C:$C,MATCH(C357,'DATA ENTRY'!$B:$B,0)),"")</f>
        <v>0</v>
      </c>
      <c r="F357" s="25" t="n">
        <f aca="false">IFERROR(INDEX('DATA ENTRY'!$E:$E,MATCH(C357,'DATA ENTRY'!$B:$B,0)),"")</f>
        <v>0</v>
      </c>
      <c r="G357" s="34"/>
      <c r="H357" s="35"/>
      <c r="I357" s="35"/>
      <c r="J357" s="34"/>
      <c r="K357" s="27" t="str">
        <f aca="false">IF(H357="","",MAX(0,H357-IF(I357="",0,I357)))</f>
        <v/>
      </c>
      <c r="L357" s="25" t="str">
        <f aca="true">IF(H357="","",IF(I357&gt;=H357,"✅ Paid",IF(G357&lt;TODAY(),"🔴 Overdue",IF(G357&lt;=TODAY()+90,"🟡 Due Soon","⬜ Upcoming"))))</f>
        <v/>
      </c>
    </row>
    <row r="358" customFormat="false" ht="15" hidden="false" customHeight="false" outlineLevel="0" collapsed="false">
      <c r="A358" s="24" t="n">
        <v>356</v>
      </c>
      <c r="C358" s="26"/>
      <c r="D358" s="25" t="n">
        <f aca="false">IFERROR(INDEX('DATA ENTRY'!$S:$S,MATCH(C358,'DATA ENTRY'!$B:$B,0)),"")</f>
        <v>0</v>
      </c>
      <c r="E358" s="25" t="n">
        <f aca="false">IFERROR(INDEX('DATA ENTRY'!$C:$C,MATCH(C358,'DATA ENTRY'!$B:$B,0)),"")</f>
        <v>0</v>
      </c>
      <c r="F358" s="25" t="n">
        <f aca="false">IFERROR(INDEX('DATA ENTRY'!$E:$E,MATCH(C358,'DATA ENTRY'!$B:$B,0)),"")</f>
        <v>0</v>
      </c>
      <c r="G358" s="34"/>
      <c r="H358" s="35"/>
      <c r="I358" s="35"/>
      <c r="J358" s="34"/>
      <c r="K358" s="27" t="str">
        <f aca="false">IF(H358="","",MAX(0,H358-IF(I358="",0,I358)))</f>
        <v/>
      </c>
      <c r="L358" s="25" t="str">
        <f aca="true">IF(H358="","",IF(I358&gt;=H358,"✅ Paid",IF(G358&lt;TODAY(),"🔴 Overdue",IF(G358&lt;=TODAY()+90,"🟡 Due Soon","⬜ Upcoming"))))</f>
        <v/>
      </c>
    </row>
    <row r="359" customFormat="false" ht="15" hidden="false" customHeight="false" outlineLevel="0" collapsed="false">
      <c r="A359" s="24" t="n">
        <v>357</v>
      </c>
      <c r="C359" s="26"/>
      <c r="D359" s="25" t="n">
        <f aca="false">IFERROR(INDEX('DATA ENTRY'!$S:$S,MATCH(C359,'DATA ENTRY'!$B:$B,0)),"")</f>
        <v>0</v>
      </c>
      <c r="E359" s="25" t="n">
        <f aca="false">IFERROR(INDEX('DATA ENTRY'!$C:$C,MATCH(C359,'DATA ENTRY'!$B:$B,0)),"")</f>
        <v>0</v>
      </c>
      <c r="F359" s="25" t="n">
        <f aca="false">IFERROR(INDEX('DATA ENTRY'!$E:$E,MATCH(C359,'DATA ENTRY'!$B:$B,0)),"")</f>
        <v>0</v>
      </c>
      <c r="G359" s="34"/>
      <c r="H359" s="35"/>
      <c r="I359" s="35"/>
      <c r="J359" s="34"/>
      <c r="K359" s="27" t="str">
        <f aca="false">IF(H359="","",MAX(0,H359-IF(I359="",0,I359)))</f>
        <v/>
      </c>
      <c r="L359" s="25" t="str">
        <f aca="true">IF(H359="","",IF(I359&gt;=H359,"✅ Paid",IF(G359&lt;TODAY(),"🔴 Overdue",IF(G359&lt;=TODAY()+90,"🟡 Due Soon","⬜ Upcoming"))))</f>
        <v/>
      </c>
    </row>
    <row r="360" customFormat="false" ht="15" hidden="false" customHeight="false" outlineLevel="0" collapsed="false">
      <c r="A360" s="24" t="n">
        <v>358</v>
      </c>
      <c r="C360" s="26"/>
      <c r="D360" s="25" t="n">
        <f aca="false">IFERROR(INDEX('DATA ENTRY'!$S:$S,MATCH(C360,'DATA ENTRY'!$B:$B,0)),"")</f>
        <v>0</v>
      </c>
      <c r="E360" s="25" t="n">
        <f aca="false">IFERROR(INDEX('DATA ENTRY'!$C:$C,MATCH(C360,'DATA ENTRY'!$B:$B,0)),"")</f>
        <v>0</v>
      </c>
      <c r="F360" s="25" t="n">
        <f aca="false">IFERROR(INDEX('DATA ENTRY'!$E:$E,MATCH(C360,'DATA ENTRY'!$B:$B,0)),"")</f>
        <v>0</v>
      </c>
      <c r="G360" s="34"/>
      <c r="H360" s="35"/>
      <c r="I360" s="35"/>
      <c r="J360" s="34"/>
      <c r="K360" s="27" t="str">
        <f aca="false">IF(H360="","",MAX(0,H360-IF(I360="",0,I360)))</f>
        <v/>
      </c>
      <c r="L360" s="25" t="str">
        <f aca="true">IF(H360="","",IF(I360&gt;=H360,"✅ Paid",IF(G360&lt;TODAY(),"🔴 Overdue",IF(G360&lt;=TODAY()+90,"🟡 Due Soon","⬜ Upcoming"))))</f>
        <v/>
      </c>
    </row>
    <row r="361" customFormat="false" ht="15" hidden="false" customHeight="false" outlineLevel="0" collapsed="false">
      <c r="A361" s="24" t="n">
        <v>359</v>
      </c>
      <c r="C361" s="26"/>
      <c r="D361" s="25" t="n">
        <f aca="false">IFERROR(INDEX('DATA ENTRY'!$S:$S,MATCH(C361,'DATA ENTRY'!$B:$B,0)),"")</f>
        <v>0</v>
      </c>
      <c r="E361" s="25" t="n">
        <f aca="false">IFERROR(INDEX('DATA ENTRY'!$C:$C,MATCH(C361,'DATA ENTRY'!$B:$B,0)),"")</f>
        <v>0</v>
      </c>
      <c r="F361" s="25" t="n">
        <f aca="false">IFERROR(INDEX('DATA ENTRY'!$E:$E,MATCH(C361,'DATA ENTRY'!$B:$B,0)),"")</f>
        <v>0</v>
      </c>
      <c r="G361" s="34"/>
      <c r="H361" s="35"/>
      <c r="I361" s="35"/>
      <c r="J361" s="34"/>
      <c r="K361" s="27" t="str">
        <f aca="false">IF(H361="","",MAX(0,H361-IF(I361="",0,I361)))</f>
        <v/>
      </c>
      <c r="L361" s="25" t="str">
        <f aca="true">IF(H361="","",IF(I361&gt;=H361,"✅ Paid",IF(G361&lt;TODAY(),"🔴 Overdue",IF(G361&lt;=TODAY()+90,"🟡 Due Soon","⬜ Upcoming"))))</f>
        <v/>
      </c>
    </row>
    <row r="362" customFormat="false" ht="15" hidden="false" customHeight="false" outlineLevel="0" collapsed="false">
      <c r="A362" s="24" t="n">
        <v>360</v>
      </c>
      <c r="C362" s="26"/>
      <c r="D362" s="25" t="n">
        <f aca="false">IFERROR(INDEX('DATA ENTRY'!$S:$S,MATCH(C362,'DATA ENTRY'!$B:$B,0)),"")</f>
        <v>0</v>
      </c>
      <c r="E362" s="25" t="n">
        <f aca="false">IFERROR(INDEX('DATA ENTRY'!$C:$C,MATCH(C362,'DATA ENTRY'!$B:$B,0)),"")</f>
        <v>0</v>
      </c>
      <c r="F362" s="25" t="n">
        <f aca="false">IFERROR(INDEX('DATA ENTRY'!$E:$E,MATCH(C362,'DATA ENTRY'!$B:$B,0)),"")</f>
        <v>0</v>
      </c>
      <c r="G362" s="34"/>
      <c r="H362" s="35"/>
      <c r="I362" s="35"/>
      <c r="J362" s="34"/>
      <c r="K362" s="27" t="str">
        <f aca="false">IF(H362="","",MAX(0,H362-IF(I362="",0,I362)))</f>
        <v/>
      </c>
      <c r="L362" s="25" t="str">
        <f aca="true">IF(H362="","",IF(I362&gt;=H362,"✅ Paid",IF(G362&lt;TODAY(),"🔴 Overdue",IF(G362&lt;=TODAY()+90,"🟡 Due Soon","⬜ Upcoming"))))</f>
        <v/>
      </c>
    </row>
    <row r="363" customFormat="false" ht="15" hidden="false" customHeight="false" outlineLevel="0" collapsed="false">
      <c r="A363" s="24" t="n">
        <v>361</v>
      </c>
      <c r="C363" s="26"/>
      <c r="D363" s="25" t="n">
        <f aca="false">IFERROR(INDEX('DATA ENTRY'!$S:$S,MATCH(C363,'DATA ENTRY'!$B:$B,0)),"")</f>
        <v>0</v>
      </c>
      <c r="E363" s="25" t="n">
        <f aca="false">IFERROR(INDEX('DATA ENTRY'!$C:$C,MATCH(C363,'DATA ENTRY'!$B:$B,0)),"")</f>
        <v>0</v>
      </c>
      <c r="F363" s="25" t="n">
        <f aca="false">IFERROR(INDEX('DATA ENTRY'!$E:$E,MATCH(C363,'DATA ENTRY'!$B:$B,0)),"")</f>
        <v>0</v>
      </c>
      <c r="G363" s="34"/>
      <c r="H363" s="35"/>
      <c r="I363" s="35"/>
      <c r="J363" s="34"/>
      <c r="K363" s="27" t="str">
        <f aca="false">IF(H363="","",MAX(0,H363-IF(I363="",0,I363)))</f>
        <v/>
      </c>
      <c r="L363" s="25" t="str">
        <f aca="true">IF(H363="","",IF(I363&gt;=H363,"✅ Paid",IF(G363&lt;TODAY(),"🔴 Overdue",IF(G363&lt;=TODAY()+90,"🟡 Due Soon","⬜ Upcoming"))))</f>
        <v/>
      </c>
    </row>
    <row r="364" customFormat="false" ht="15" hidden="false" customHeight="false" outlineLevel="0" collapsed="false">
      <c r="A364" s="24" t="n">
        <v>362</v>
      </c>
      <c r="C364" s="26"/>
      <c r="D364" s="25" t="n">
        <f aca="false">IFERROR(INDEX('DATA ENTRY'!$S:$S,MATCH(C364,'DATA ENTRY'!$B:$B,0)),"")</f>
        <v>0</v>
      </c>
      <c r="E364" s="25" t="n">
        <f aca="false">IFERROR(INDEX('DATA ENTRY'!$C:$C,MATCH(C364,'DATA ENTRY'!$B:$B,0)),"")</f>
        <v>0</v>
      </c>
      <c r="F364" s="25" t="n">
        <f aca="false">IFERROR(INDEX('DATA ENTRY'!$E:$E,MATCH(C364,'DATA ENTRY'!$B:$B,0)),"")</f>
        <v>0</v>
      </c>
      <c r="G364" s="34"/>
      <c r="H364" s="35"/>
      <c r="I364" s="35"/>
      <c r="J364" s="34"/>
      <c r="K364" s="27" t="str">
        <f aca="false">IF(H364="","",MAX(0,H364-IF(I364="",0,I364)))</f>
        <v/>
      </c>
      <c r="L364" s="25" t="str">
        <f aca="true">IF(H364="","",IF(I364&gt;=H364,"✅ Paid",IF(G364&lt;TODAY(),"🔴 Overdue",IF(G364&lt;=TODAY()+90,"🟡 Due Soon","⬜ Upcoming"))))</f>
        <v/>
      </c>
    </row>
    <row r="365" customFormat="false" ht="15" hidden="false" customHeight="false" outlineLevel="0" collapsed="false">
      <c r="A365" s="24" t="n">
        <v>363</v>
      </c>
      <c r="C365" s="26"/>
      <c r="D365" s="25" t="n">
        <f aca="false">IFERROR(INDEX('DATA ENTRY'!$S:$S,MATCH(C365,'DATA ENTRY'!$B:$B,0)),"")</f>
        <v>0</v>
      </c>
      <c r="E365" s="25" t="n">
        <f aca="false">IFERROR(INDEX('DATA ENTRY'!$C:$C,MATCH(C365,'DATA ENTRY'!$B:$B,0)),"")</f>
        <v>0</v>
      </c>
      <c r="F365" s="25" t="n">
        <f aca="false">IFERROR(INDEX('DATA ENTRY'!$E:$E,MATCH(C365,'DATA ENTRY'!$B:$B,0)),"")</f>
        <v>0</v>
      </c>
      <c r="G365" s="34"/>
      <c r="H365" s="35"/>
      <c r="I365" s="35"/>
      <c r="J365" s="34"/>
      <c r="K365" s="27" t="str">
        <f aca="false">IF(H365="","",MAX(0,H365-IF(I365="",0,I365)))</f>
        <v/>
      </c>
      <c r="L365" s="25" t="str">
        <f aca="true">IF(H365="","",IF(I365&gt;=H365,"✅ Paid",IF(G365&lt;TODAY(),"🔴 Overdue",IF(G365&lt;=TODAY()+90,"🟡 Due Soon","⬜ Upcoming"))))</f>
        <v/>
      </c>
    </row>
    <row r="366" customFormat="false" ht="15" hidden="false" customHeight="false" outlineLevel="0" collapsed="false">
      <c r="A366" s="24" t="n">
        <v>364</v>
      </c>
      <c r="C366" s="26"/>
      <c r="D366" s="25" t="n">
        <f aca="false">IFERROR(INDEX('DATA ENTRY'!$S:$S,MATCH(C366,'DATA ENTRY'!$B:$B,0)),"")</f>
        <v>0</v>
      </c>
      <c r="E366" s="25" t="n">
        <f aca="false">IFERROR(INDEX('DATA ENTRY'!$C:$C,MATCH(C366,'DATA ENTRY'!$B:$B,0)),"")</f>
        <v>0</v>
      </c>
      <c r="F366" s="25" t="n">
        <f aca="false">IFERROR(INDEX('DATA ENTRY'!$E:$E,MATCH(C366,'DATA ENTRY'!$B:$B,0)),"")</f>
        <v>0</v>
      </c>
      <c r="G366" s="34"/>
      <c r="H366" s="35"/>
      <c r="I366" s="35"/>
      <c r="J366" s="34"/>
      <c r="K366" s="27" t="str">
        <f aca="false">IF(H366="","",MAX(0,H366-IF(I366="",0,I366)))</f>
        <v/>
      </c>
      <c r="L366" s="25" t="str">
        <f aca="true">IF(H366="","",IF(I366&gt;=H366,"✅ Paid",IF(G366&lt;TODAY(),"🔴 Overdue",IF(G366&lt;=TODAY()+90,"🟡 Due Soon","⬜ Upcoming"))))</f>
        <v/>
      </c>
    </row>
    <row r="367" customFormat="false" ht="15" hidden="false" customHeight="false" outlineLevel="0" collapsed="false">
      <c r="A367" s="24" t="n">
        <v>365</v>
      </c>
      <c r="C367" s="26"/>
      <c r="D367" s="25" t="n">
        <f aca="false">IFERROR(INDEX('DATA ENTRY'!$S:$S,MATCH(C367,'DATA ENTRY'!$B:$B,0)),"")</f>
        <v>0</v>
      </c>
      <c r="E367" s="25" t="n">
        <f aca="false">IFERROR(INDEX('DATA ENTRY'!$C:$C,MATCH(C367,'DATA ENTRY'!$B:$B,0)),"")</f>
        <v>0</v>
      </c>
      <c r="F367" s="25" t="n">
        <f aca="false">IFERROR(INDEX('DATA ENTRY'!$E:$E,MATCH(C367,'DATA ENTRY'!$B:$B,0)),"")</f>
        <v>0</v>
      </c>
      <c r="G367" s="34"/>
      <c r="H367" s="35"/>
      <c r="I367" s="35"/>
      <c r="J367" s="34"/>
      <c r="K367" s="27" t="str">
        <f aca="false">IF(H367="","",MAX(0,H367-IF(I367="",0,I367)))</f>
        <v/>
      </c>
      <c r="L367" s="25" t="str">
        <f aca="true">IF(H367="","",IF(I367&gt;=H367,"✅ Paid",IF(G367&lt;TODAY(),"🔴 Overdue",IF(G367&lt;=TODAY()+90,"🟡 Due Soon","⬜ Upcoming"))))</f>
        <v/>
      </c>
    </row>
    <row r="368" customFormat="false" ht="15" hidden="false" customHeight="false" outlineLevel="0" collapsed="false">
      <c r="A368" s="24" t="n">
        <v>366</v>
      </c>
      <c r="C368" s="26"/>
      <c r="D368" s="25" t="n">
        <f aca="false">IFERROR(INDEX('DATA ENTRY'!$S:$S,MATCH(C368,'DATA ENTRY'!$B:$B,0)),"")</f>
        <v>0</v>
      </c>
      <c r="E368" s="25" t="n">
        <f aca="false">IFERROR(INDEX('DATA ENTRY'!$C:$C,MATCH(C368,'DATA ENTRY'!$B:$B,0)),"")</f>
        <v>0</v>
      </c>
      <c r="F368" s="25" t="n">
        <f aca="false">IFERROR(INDEX('DATA ENTRY'!$E:$E,MATCH(C368,'DATA ENTRY'!$B:$B,0)),"")</f>
        <v>0</v>
      </c>
      <c r="G368" s="34"/>
      <c r="H368" s="35"/>
      <c r="I368" s="35"/>
      <c r="J368" s="34"/>
      <c r="K368" s="27" t="str">
        <f aca="false">IF(H368="","",MAX(0,H368-IF(I368="",0,I368)))</f>
        <v/>
      </c>
      <c r="L368" s="25" t="str">
        <f aca="true">IF(H368="","",IF(I368&gt;=H368,"✅ Paid",IF(G368&lt;TODAY(),"🔴 Overdue",IF(G368&lt;=TODAY()+90,"🟡 Due Soon","⬜ Upcoming"))))</f>
        <v/>
      </c>
    </row>
    <row r="369" customFormat="false" ht="15" hidden="false" customHeight="false" outlineLevel="0" collapsed="false">
      <c r="A369" s="24" t="n">
        <v>367</v>
      </c>
      <c r="C369" s="26"/>
      <c r="D369" s="25" t="n">
        <f aca="false">IFERROR(INDEX('DATA ENTRY'!$S:$S,MATCH(C369,'DATA ENTRY'!$B:$B,0)),"")</f>
        <v>0</v>
      </c>
      <c r="E369" s="25" t="n">
        <f aca="false">IFERROR(INDEX('DATA ENTRY'!$C:$C,MATCH(C369,'DATA ENTRY'!$B:$B,0)),"")</f>
        <v>0</v>
      </c>
      <c r="F369" s="25" t="n">
        <f aca="false">IFERROR(INDEX('DATA ENTRY'!$E:$E,MATCH(C369,'DATA ENTRY'!$B:$B,0)),"")</f>
        <v>0</v>
      </c>
      <c r="G369" s="34"/>
      <c r="H369" s="35"/>
      <c r="I369" s="35"/>
      <c r="J369" s="34"/>
      <c r="K369" s="27" t="str">
        <f aca="false">IF(H369="","",MAX(0,H369-IF(I369="",0,I369)))</f>
        <v/>
      </c>
      <c r="L369" s="25" t="str">
        <f aca="true">IF(H369="","",IF(I369&gt;=H369,"✅ Paid",IF(G369&lt;TODAY(),"🔴 Overdue",IF(G369&lt;=TODAY()+90,"🟡 Due Soon","⬜ Upcoming"))))</f>
        <v/>
      </c>
    </row>
    <row r="370" customFormat="false" ht="15" hidden="false" customHeight="false" outlineLevel="0" collapsed="false">
      <c r="A370" s="24" t="n">
        <v>368</v>
      </c>
      <c r="C370" s="26"/>
      <c r="D370" s="25" t="n">
        <f aca="false">IFERROR(INDEX('DATA ENTRY'!$S:$S,MATCH(C370,'DATA ENTRY'!$B:$B,0)),"")</f>
        <v>0</v>
      </c>
      <c r="E370" s="25" t="n">
        <f aca="false">IFERROR(INDEX('DATA ENTRY'!$C:$C,MATCH(C370,'DATA ENTRY'!$B:$B,0)),"")</f>
        <v>0</v>
      </c>
      <c r="F370" s="25" t="n">
        <f aca="false">IFERROR(INDEX('DATA ENTRY'!$E:$E,MATCH(C370,'DATA ENTRY'!$B:$B,0)),"")</f>
        <v>0</v>
      </c>
      <c r="G370" s="34"/>
      <c r="H370" s="35"/>
      <c r="I370" s="35"/>
      <c r="J370" s="34"/>
      <c r="K370" s="27" t="str">
        <f aca="false">IF(H370="","",MAX(0,H370-IF(I370="",0,I370)))</f>
        <v/>
      </c>
      <c r="L370" s="25" t="str">
        <f aca="true">IF(H370="","",IF(I370&gt;=H370,"✅ Paid",IF(G370&lt;TODAY(),"🔴 Overdue",IF(G370&lt;=TODAY()+90,"🟡 Due Soon","⬜ Upcoming"))))</f>
        <v/>
      </c>
    </row>
    <row r="371" customFormat="false" ht="15" hidden="false" customHeight="false" outlineLevel="0" collapsed="false">
      <c r="A371" s="24" t="n">
        <v>369</v>
      </c>
      <c r="C371" s="26"/>
      <c r="D371" s="25" t="n">
        <f aca="false">IFERROR(INDEX('DATA ENTRY'!$S:$S,MATCH(C371,'DATA ENTRY'!$B:$B,0)),"")</f>
        <v>0</v>
      </c>
      <c r="E371" s="25" t="n">
        <f aca="false">IFERROR(INDEX('DATA ENTRY'!$C:$C,MATCH(C371,'DATA ENTRY'!$B:$B,0)),"")</f>
        <v>0</v>
      </c>
      <c r="F371" s="25" t="n">
        <f aca="false">IFERROR(INDEX('DATA ENTRY'!$E:$E,MATCH(C371,'DATA ENTRY'!$B:$B,0)),"")</f>
        <v>0</v>
      </c>
      <c r="G371" s="34"/>
      <c r="H371" s="35"/>
      <c r="I371" s="35"/>
      <c r="J371" s="34"/>
      <c r="K371" s="27" t="str">
        <f aca="false">IF(H371="","",MAX(0,H371-IF(I371="",0,I371)))</f>
        <v/>
      </c>
      <c r="L371" s="25" t="str">
        <f aca="true">IF(H371="","",IF(I371&gt;=H371,"✅ Paid",IF(G371&lt;TODAY(),"🔴 Overdue",IF(G371&lt;=TODAY()+90,"🟡 Due Soon","⬜ Upcoming"))))</f>
        <v/>
      </c>
    </row>
    <row r="372" customFormat="false" ht="15" hidden="false" customHeight="false" outlineLevel="0" collapsed="false">
      <c r="A372" s="24" t="n">
        <v>370</v>
      </c>
      <c r="C372" s="26"/>
      <c r="D372" s="25" t="n">
        <f aca="false">IFERROR(INDEX('DATA ENTRY'!$S:$S,MATCH(C372,'DATA ENTRY'!$B:$B,0)),"")</f>
        <v>0</v>
      </c>
      <c r="E372" s="25" t="n">
        <f aca="false">IFERROR(INDEX('DATA ENTRY'!$C:$C,MATCH(C372,'DATA ENTRY'!$B:$B,0)),"")</f>
        <v>0</v>
      </c>
      <c r="F372" s="25" t="n">
        <f aca="false">IFERROR(INDEX('DATA ENTRY'!$E:$E,MATCH(C372,'DATA ENTRY'!$B:$B,0)),"")</f>
        <v>0</v>
      </c>
      <c r="G372" s="34"/>
      <c r="H372" s="35"/>
      <c r="I372" s="35"/>
      <c r="J372" s="34"/>
      <c r="K372" s="27" t="str">
        <f aca="false">IF(H372="","",MAX(0,H372-IF(I372="",0,I372)))</f>
        <v/>
      </c>
      <c r="L372" s="25" t="str">
        <f aca="true">IF(H372="","",IF(I372&gt;=H372,"✅ Paid",IF(G372&lt;TODAY(),"🔴 Overdue",IF(G372&lt;=TODAY()+90,"🟡 Due Soon","⬜ Upcoming"))))</f>
        <v/>
      </c>
    </row>
    <row r="373" customFormat="false" ht="15" hidden="false" customHeight="false" outlineLevel="0" collapsed="false">
      <c r="A373" s="24" t="n">
        <v>371</v>
      </c>
      <c r="C373" s="26"/>
      <c r="D373" s="25" t="n">
        <f aca="false">IFERROR(INDEX('DATA ENTRY'!$S:$S,MATCH(C373,'DATA ENTRY'!$B:$B,0)),"")</f>
        <v>0</v>
      </c>
      <c r="E373" s="25" t="n">
        <f aca="false">IFERROR(INDEX('DATA ENTRY'!$C:$C,MATCH(C373,'DATA ENTRY'!$B:$B,0)),"")</f>
        <v>0</v>
      </c>
      <c r="F373" s="25" t="n">
        <f aca="false">IFERROR(INDEX('DATA ENTRY'!$E:$E,MATCH(C373,'DATA ENTRY'!$B:$B,0)),"")</f>
        <v>0</v>
      </c>
      <c r="G373" s="34"/>
      <c r="H373" s="35"/>
      <c r="I373" s="35"/>
      <c r="J373" s="34"/>
      <c r="K373" s="27" t="str">
        <f aca="false">IF(H373="","",MAX(0,H373-IF(I373="",0,I373)))</f>
        <v/>
      </c>
      <c r="L373" s="25" t="str">
        <f aca="true">IF(H373="","",IF(I373&gt;=H373,"✅ Paid",IF(G373&lt;TODAY(),"🔴 Overdue",IF(G373&lt;=TODAY()+90,"🟡 Due Soon","⬜ Upcoming"))))</f>
        <v/>
      </c>
    </row>
    <row r="374" customFormat="false" ht="15" hidden="false" customHeight="false" outlineLevel="0" collapsed="false">
      <c r="A374" s="24" t="n">
        <v>372</v>
      </c>
      <c r="C374" s="26"/>
      <c r="D374" s="25" t="n">
        <f aca="false">IFERROR(INDEX('DATA ENTRY'!$S:$S,MATCH(C374,'DATA ENTRY'!$B:$B,0)),"")</f>
        <v>0</v>
      </c>
      <c r="E374" s="25" t="n">
        <f aca="false">IFERROR(INDEX('DATA ENTRY'!$C:$C,MATCH(C374,'DATA ENTRY'!$B:$B,0)),"")</f>
        <v>0</v>
      </c>
      <c r="F374" s="25" t="n">
        <f aca="false">IFERROR(INDEX('DATA ENTRY'!$E:$E,MATCH(C374,'DATA ENTRY'!$B:$B,0)),"")</f>
        <v>0</v>
      </c>
      <c r="G374" s="34"/>
      <c r="H374" s="35"/>
      <c r="I374" s="35"/>
      <c r="J374" s="34"/>
      <c r="K374" s="27" t="str">
        <f aca="false">IF(H374="","",MAX(0,H374-IF(I374="",0,I374)))</f>
        <v/>
      </c>
      <c r="L374" s="25" t="str">
        <f aca="true">IF(H374="","",IF(I374&gt;=H374,"✅ Paid",IF(G374&lt;TODAY(),"🔴 Overdue",IF(G374&lt;=TODAY()+90,"🟡 Due Soon","⬜ Upcoming"))))</f>
        <v/>
      </c>
    </row>
    <row r="375" customFormat="false" ht="15" hidden="false" customHeight="false" outlineLevel="0" collapsed="false">
      <c r="A375" s="24" t="n">
        <v>373</v>
      </c>
      <c r="C375" s="26"/>
      <c r="D375" s="25" t="n">
        <f aca="false">IFERROR(INDEX('DATA ENTRY'!$S:$S,MATCH(C375,'DATA ENTRY'!$B:$B,0)),"")</f>
        <v>0</v>
      </c>
      <c r="E375" s="25" t="n">
        <f aca="false">IFERROR(INDEX('DATA ENTRY'!$C:$C,MATCH(C375,'DATA ENTRY'!$B:$B,0)),"")</f>
        <v>0</v>
      </c>
      <c r="F375" s="25" t="n">
        <f aca="false">IFERROR(INDEX('DATA ENTRY'!$E:$E,MATCH(C375,'DATA ENTRY'!$B:$B,0)),"")</f>
        <v>0</v>
      </c>
      <c r="G375" s="34"/>
      <c r="H375" s="35"/>
      <c r="I375" s="35"/>
      <c r="J375" s="34"/>
      <c r="K375" s="27" t="str">
        <f aca="false">IF(H375="","",MAX(0,H375-IF(I375="",0,I375)))</f>
        <v/>
      </c>
      <c r="L375" s="25" t="str">
        <f aca="true">IF(H375="","",IF(I375&gt;=H375,"✅ Paid",IF(G375&lt;TODAY(),"🔴 Overdue",IF(G375&lt;=TODAY()+90,"🟡 Due Soon","⬜ Upcoming"))))</f>
        <v/>
      </c>
    </row>
    <row r="376" customFormat="false" ht="15" hidden="false" customHeight="false" outlineLevel="0" collapsed="false">
      <c r="A376" s="24" t="n">
        <v>374</v>
      </c>
      <c r="C376" s="26"/>
      <c r="D376" s="25" t="n">
        <f aca="false">IFERROR(INDEX('DATA ENTRY'!$S:$S,MATCH(C376,'DATA ENTRY'!$B:$B,0)),"")</f>
        <v>0</v>
      </c>
      <c r="E376" s="25" t="n">
        <f aca="false">IFERROR(INDEX('DATA ENTRY'!$C:$C,MATCH(C376,'DATA ENTRY'!$B:$B,0)),"")</f>
        <v>0</v>
      </c>
      <c r="F376" s="25" t="n">
        <f aca="false">IFERROR(INDEX('DATA ENTRY'!$E:$E,MATCH(C376,'DATA ENTRY'!$B:$B,0)),"")</f>
        <v>0</v>
      </c>
      <c r="G376" s="34"/>
      <c r="H376" s="35"/>
      <c r="I376" s="35"/>
      <c r="J376" s="34"/>
      <c r="K376" s="27" t="str">
        <f aca="false">IF(H376="","",MAX(0,H376-IF(I376="",0,I376)))</f>
        <v/>
      </c>
      <c r="L376" s="25" t="str">
        <f aca="true">IF(H376="","",IF(I376&gt;=H376,"✅ Paid",IF(G376&lt;TODAY(),"🔴 Overdue",IF(G376&lt;=TODAY()+90,"🟡 Due Soon","⬜ Upcoming"))))</f>
        <v/>
      </c>
    </row>
    <row r="377" customFormat="false" ht="15" hidden="false" customHeight="false" outlineLevel="0" collapsed="false">
      <c r="A377" s="24" t="n">
        <v>375</v>
      </c>
      <c r="C377" s="26"/>
      <c r="D377" s="25" t="n">
        <f aca="false">IFERROR(INDEX('DATA ENTRY'!$S:$S,MATCH(C377,'DATA ENTRY'!$B:$B,0)),"")</f>
        <v>0</v>
      </c>
      <c r="E377" s="25" t="n">
        <f aca="false">IFERROR(INDEX('DATA ENTRY'!$C:$C,MATCH(C377,'DATA ENTRY'!$B:$B,0)),"")</f>
        <v>0</v>
      </c>
      <c r="F377" s="25" t="n">
        <f aca="false">IFERROR(INDEX('DATA ENTRY'!$E:$E,MATCH(C377,'DATA ENTRY'!$B:$B,0)),"")</f>
        <v>0</v>
      </c>
      <c r="G377" s="34"/>
      <c r="H377" s="35"/>
      <c r="I377" s="35"/>
      <c r="J377" s="34"/>
      <c r="K377" s="27" t="str">
        <f aca="false">IF(H377="","",MAX(0,H377-IF(I377="",0,I377)))</f>
        <v/>
      </c>
      <c r="L377" s="25" t="str">
        <f aca="true">IF(H377="","",IF(I377&gt;=H377,"✅ Paid",IF(G377&lt;TODAY(),"🔴 Overdue",IF(G377&lt;=TODAY()+90,"🟡 Due Soon","⬜ Upcoming"))))</f>
        <v/>
      </c>
    </row>
    <row r="378" customFormat="false" ht="15" hidden="false" customHeight="false" outlineLevel="0" collapsed="false">
      <c r="A378" s="24" t="n">
        <v>376</v>
      </c>
      <c r="C378" s="26"/>
      <c r="D378" s="25" t="n">
        <f aca="false">IFERROR(INDEX('DATA ENTRY'!$S:$S,MATCH(C378,'DATA ENTRY'!$B:$B,0)),"")</f>
        <v>0</v>
      </c>
      <c r="E378" s="25" t="n">
        <f aca="false">IFERROR(INDEX('DATA ENTRY'!$C:$C,MATCH(C378,'DATA ENTRY'!$B:$B,0)),"")</f>
        <v>0</v>
      </c>
      <c r="F378" s="25" t="n">
        <f aca="false">IFERROR(INDEX('DATA ENTRY'!$E:$E,MATCH(C378,'DATA ENTRY'!$B:$B,0)),"")</f>
        <v>0</v>
      </c>
      <c r="G378" s="34"/>
      <c r="H378" s="35"/>
      <c r="I378" s="35"/>
      <c r="J378" s="34"/>
      <c r="K378" s="27" t="str">
        <f aca="false">IF(H378="","",MAX(0,H378-IF(I378="",0,I378)))</f>
        <v/>
      </c>
      <c r="L378" s="25" t="str">
        <f aca="true">IF(H378="","",IF(I378&gt;=H378,"✅ Paid",IF(G378&lt;TODAY(),"🔴 Overdue",IF(G378&lt;=TODAY()+90,"🟡 Due Soon","⬜ Upcoming"))))</f>
        <v/>
      </c>
    </row>
    <row r="379" customFormat="false" ht="15" hidden="false" customHeight="false" outlineLevel="0" collapsed="false">
      <c r="A379" s="24" t="n">
        <v>377</v>
      </c>
      <c r="C379" s="26"/>
      <c r="D379" s="25" t="n">
        <f aca="false">IFERROR(INDEX('DATA ENTRY'!$S:$S,MATCH(C379,'DATA ENTRY'!$B:$B,0)),"")</f>
        <v>0</v>
      </c>
      <c r="E379" s="25" t="n">
        <f aca="false">IFERROR(INDEX('DATA ENTRY'!$C:$C,MATCH(C379,'DATA ENTRY'!$B:$B,0)),"")</f>
        <v>0</v>
      </c>
      <c r="F379" s="25" t="n">
        <f aca="false">IFERROR(INDEX('DATA ENTRY'!$E:$E,MATCH(C379,'DATA ENTRY'!$B:$B,0)),"")</f>
        <v>0</v>
      </c>
      <c r="G379" s="34"/>
      <c r="H379" s="35"/>
      <c r="I379" s="35"/>
      <c r="J379" s="34"/>
      <c r="K379" s="27" t="str">
        <f aca="false">IF(H379="","",MAX(0,H379-IF(I379="",0,I379)))</f>
        <v/>
      </c>
      <c r="L379" s="25" t="str">
        <f aca="true">IF(H379="","",IF(I379&gt;=H379,"✅ Paid",IF(G379&lt;TODAY(),"🔴 Overdue",IF(G379&lt;=TODAY()+90,"🟡 Due Soon","⬜ Upcoming"))))</f>
        <v/>
      </c>
    </row>
    <row r="380" customFormat="false" ht="15" hidden="false" customHeight="false" outlineLevel="0" collapsed="false">
      <c r="A380" s="24" t="n">
        <v>378</v>
      </c>
      <c r="C380" s="26"/>
      <c r="D380" s="25" t="n">
        <f aca="false">IFERROR(INDEX('DATA ENTRY'!$S:$S,MATCH(C380,'DATA ENTRY'!$B:$B,0)),"")</f>
        <v>0</v>
      </c>
      <c r="E380" s="25" t="n">
        <f aca="false">IFERROR(INDEX('DATA ENTRY'!$C:$C,MATCH(C380,'DATA ENTRY'!$B:$B,0)),"")</f>
        <v>0</v>
      </c>
      <c r="F380" s="25" t="n">
        <f aca="false">IFERROR(INDEX('DATA ENTRY'!$E:$E,MATCH(C380,'DATA ENTRY'!$B:$B,0)),"")</f>
        <v>0</v>
      </c>
      <c r="G380" s="34"/>
      <c r="H380" s="35"/>
      <c r="I380" s="35"/>
      <c r="J380" s="34"/>
      <c r="K380" s="27" t="str">
        <f aca="false">IF(H380="","",MAX(0,H380-IF(I380="",0,I380)))</f>
        <v/>
      </c>
      <c r="L380" s="25" t="str">
        <f aca="true">IF(H380="","",IF(I380&gt;=H380,"✅ Paid",IF(G380&lt;TODAY(),"🔴 Overdue",IF(G380&lt;=TODAY()+90,"🟡 Due Soon","⬜ Upcoming"))))</f>
        <v/>
      </c>
    </row>
    <row r="381" customFormat="false" ht="15" hidden="false" customHeight="false" outlineLevel="0" collapsed="false">
      <c r="A381" s="24" t="n">
        <v>379</v>
      </c>
      <c r="C381" s="26"/>
      <c r="D381" s="25" t="n">
        <f aca="false">IFERROR(INDEX('DATA ENTRY'!$S:$S,MATCH(C381,'DATA ENTRY'!$B:$B,0)),"")</f>
        <v>0</v>
      </c>
      <c r="E381" s="25" t="n">
        <f aca="false">IFERROR(INDEX('DATA ENTRY'!$C:$C,MATCH(C381,'DATA ENTRY'!$B:$B,0)),"")</f>
        <v>0</v>
      </c>
      <c r="F381" s="25" t="n">
        <f aca="false">IFERROR(INDEX('DATA ENTRY'!$E:$E,MATCH(C381,'DATA ENTRY'!$B:$B,0)),"")</f>
        <v>0</v>
      </c>
      <c r="G381" s="34"/>
      <c r="H381" s="35"/>
      <c r="I381" s="35"/>
      <c r="J381" s="34"/>
      <c r="K381" s="27" t="str">
        <f aca="false">IF(H381="","",MAX(0,H381-IF(I381="",0,I381)))</f>
        <v/>
      </c>
      <c r="L381" s="25" t="str">
        <f aca="true">IF(H381="","",IF(I381&gt;=H381,"✅ Paid",IF(G381&lt;TODAY(),"🔴 Overdue",IF(G381&lt;=TODAY()+90,"🟡 Due Soon","⬜ Upcoming"))))</f>
        <v/>
      </c>
    </row>
    <row r="382" customFormat="false" ht="15" hidden="false" customHeight="false" outlineLevel="0" collapsed="false">
      <c r="A382" s="24" t="n">
        <v>380</v>
      </c>
      <c r="C382" s="26"/>
      <c r="D382" s="25" t="n">
        <f aca="false">IFERROR(INDEX('DATA ENTRY'!$S:$S,MATCH(C382,'DATA ENTRY'!$B:$B,0)),"")</f>
        <v>0</v>
      </c>
      <c r="E382" s="25" t="n">
        <f aca="false">IFERROR(INDEX('DATA ENTRY'!$C:$C,MATCH(C382,'DATA ENTRY'!$B:$B,0)),"")</f>
        <v>0</v>
      </c>
      <c r="F382" s="25" t="n">
        <f aca="false">IFERROR(INDEX('DATA ENTRY'!$E:$E,MATCH(C382,'DATA ENTRY'!$B:$B,0)),"")</f>
        <v>0</v>
      </c>
      <c r="G382" s="34"/>
      <c r="H382" s="35"/>
      <c r="I382" s="35"/>
      <c r="J382" s="34"/>
      <c r="K382" s="27" t="str">
        <f aca="false">IF(H382="","",MAX(0,H382-IF(I382="",0,I382)))</f>
        <v/>
      </c>
      <c r="L382" s="25" t="str">
        <f aca="true">IF(H382="","",IF(I382&gt;=H382,"✅ Paid",IF(G382&lt;TODAY(),"🔴 Overdue",IF(G382&lt;=TODAY()+90,"🟡 Due Soon","⬜ Upcoming"))))</f>
        <v/>
      </c>
    </row>
    <row r="383" customFormat="false" ht="15" hidden="false" customHeight="false" outlineLevel="0" collapsed="false">
      <c r="A383" s="24" t="n">
        <v>381</v>
      </c>
      <c r="C383" s="26"/>
      <c r="D383" s="25" t="n">
        <f aca="false">IFERROR(INDEX('DATA ENTRY'!$S:$S,MATCH(C383,'DATA ENTRY'!$B:$B,0)),"")</f>
        <v>0</v>
      </c>
      <c r="E383" s="25" t="n">
        <f aca="false">IFERROR(INDEX('DATA ENTRY'!$C:$C,MATCH(C383,'DATA ENTRY'!$B:$B,0)),"")</f>
        <v>0</v>
      </c>
      <c r="F383" s="25" t="n">
        <f aca="false">IFERROR(INDEX('DATA ENTRY'!$E:$E,MATCH(C383,'DATA ENTRY'!$B:$B,0)),"")</f>
        <v>0</v>
      </c>
      <c r="G383" s="34"/>
      <c r="H383" s="35"/>
      <c r="I383" s="35"/>
      <c r="J383" s="34"/>
      <c r="K383" s="27" t="str">
        <f aca="false">IF(H383="","",MAX(0,H383-IF(I383="",0,I383)))</f>
        <v/>
      </c>
      <c r="L383" s="25" t="str">
        <f aca="true">IF(H383="","",IF(I383&gt;=H383,"✅ Paid",IF(G383&lt;TODAY(),"🔴 Overdue",IF(G383&lt;=TODAY()+90,"🟡 Due Soon","⬜ Upcoming"))))</f>
        <v/>
      </c>
    </row>
    <row r="384" customFormat="false" ht="15" hidden="false" customHeight="false" outlineLevel="0" collapsed="false">
      <c r="A384" s="24" t="n">
        <v>382</v>
      </c>
      <c r="C384" s="26"/>
      <c r="D384" s="25" t="n">
        <f aca="false">IFERROR(INDEX('DATA ENTRY'!$S:$S,MATCH(C384,'DATA ENTRY'!$B:$B,0)),"")</f>
        <v>0</v>
      </c>
      <c r="E384" s="25" t="n">
        <f aca="false">IFERROR(INDEX('DATA ENTRY'!$C:$C,MATCH(C384,'DATA ENTRY'!$B:$B,0)),"")</f>
        <v>0</v>
      </c>
      <c r="F384" s="25" t="n">
        <f aca="false">IFERROR(INDEX('DATA ENTRY'!$E:$E,MATCH(C384,'DATA ENTRY'!$B:$B,0)),"")</f>
        <v>0</v>
      </c>
      <c r="G384" s="34"/>
      <c r="H384" s="35"/>
      <c r="I384" s="35"/>
      <c r="J384" s="34"/>
      <c r="K384" s="27" t="str">
        <f aca="false">IF(H384="","",MAX(0,H384-IF(I384="",0,I384)))</f>
        <v/>
      </c>
      <c r="L384" s="25" t="str">
        <f aca="true">IF(H384="","",IF(I384&gt;=H384,"✅ Paid",IF(G384&lt;TODAY(),"🔴 Overdue",IF(G384&lt;=TODAY()+90,"🟡 Due Soon","⬜ Upcoming"))))</f>
        <v/>
      </c>
    </row>
    <row r="385" customFormat="false" ht="15" hidden="false" customHeight="false" outlineLevel="0" collapsed="false">
      <c r="A385" s="24" t="n">
        <v>383</v>
      </c>
      <c r="C385" s="26"/>
      <c r="D385" s="25" t="n">
        <f aca="false">IFERROR(INDEX('DATA ENTRY'!$S:$S,MATCH(C385,'DATA ENTRY'!$B:$B,0)),"")</f>
        <v>0</v>
      </c>
      <c r="E385" s="25" t="n">
        <f aca="false">IFERROR(INDEX('DATA ENTRY'!$C:$C,MATCH(C385,'DATA ENTRY'!$B:$B,0)),"")</f>
        <v>0</v>
      </c>
      <c r="F385" s="25" t="n">
        <f aca="false">IFERROR(INDEX('DATA ENTRY'!$E:$E,MATCH(C385,'DATA ENTRY'!$B:$B,0)),"")</f>
        <v>0</v>
      </c>
      <c r="G385" s="34"/>
      <c r="H385" s="35"/>
      <c r="I385" s="35"/>
      <c r="J385" s="34"/>
      <c r="K385" s="27" t="str">
        <f aca="false">IF(H385="","",MAX(0,H385-IF(I385="",0,I385)))</f>
        <v/>
      </c>
      <c r="L385" s="25" t="str">
        <f aca="true">IF(H385="","",IF(I385&gt;=H385,"✅ Paid",IF(G385&lt;TODAY(),"🔴 Overdue",IF(G385&lt;=TODAY()+90,"🟡 Due Soon","⬜ Upcoming"))))</f>
        <v/>
      </c>
    </row>
    <row r="386" customFormat="false" ht="15" hidden="false" customHeight="false" outlineLevel="0" collapsed="false">
      <c r="A386" s="24" t="n">
        <v>384</v>
      </c>
      <c r="C386" s="26"/>
      <c r="D386" s="25" t="n">
        <f aca="false">IFERROR(INDEX('DATA ENTRY'!$S:$S,MATCH(C386,'DATA ENTRY'!$B:$B,0)),"")</f>
        <v>0</v>
      </c>
      <c r="E386" s="25" t="n">
        <f aca="false">IFERROR(INDEX('DATA ENTRY'!$C:$C,MATCH(C386,'DATA ENTRY'!$B:$B,0)),"")</f>
        <v>0</v>
      </c>
      <c r="F386" s="25" t="n">
        <f aca="false">IFERROR(INDEX('DATA ENTRY'!$E:$E,MATCH(C386,'DATA ENTRY'!$B:$B,0)),"")</f>
        <v>0</v>
      </c>
      <c r="G386" s="34"/>
      <c r="H386" s="35"/>
      <c r="I386" s="35"/>
      <c r="J386" s="34"/>
      <c r="K386" s="27" t="str">
        <f aca="false">IF(H386="","",MAX(0,H386-IF(I386="",0,I386)))</f>
        <v/>
      </c>
      <c r="L386" s="25" t="str">
        <f aca="true">IF(H386="","",IF(I386&gt;=H386,"✅ Paid",IF(G386&lt;TODAY(),"🔴 Overdue",IF(G386&lt;=TODAY()+90,"🟡 Due Soon","⬜ Upcoming"))))</f>
        <v/>
      </c>
    </row>
    <row r="387" customFormat="false" ht="15" hidden="false" customHeight="false" outlineLevel="0" collapsed="false">
      <c r="A387" s="24" t="n">
        <v>385</v>
      </c>
      <c r="C387" s="26"/>
      <c r="D387" s="25" t="n">
        <f aca="false">IFERROR(INDEX('DATA ENTRY'!$S:$S,MATCH(C387,'DATA ENTRY'!$B:$B,0)),"")</f>
        <v>0</v>
      </c>
      <c r="E387" s="25" t="n">
        <f aca="false">IFERROR(INDEX('DATA ENTRY'!$C:$C,MATCH(C387,'DATA ENTRY'!$B:$B,0)),"")</f>
        <v>0</v>
      </c>
      <c r="F387" s="25" t="n">
        <f aca="false">IFERROR(INDEX('DATA ENTRY'!$E:$E,MATCH(C387,'DATA ENTRY'!$B:$B,0)),"")</f>
        <v>0</v>
      </c>
      <c r="G387" s="34"/>
      <c r="H387" s="35"/>
      <c r="I387" s="35"/>
      <c r="J387" s="34"/>
      <c r="K387" s="27" t="str">
        <f aca="false">IF(H387="","",MAX(0,H387-IF(I387="",0,I387)))</f>
        <v/>
      </c>
      <c r="L387" s="25" t="str">
        <f aca="true">IF(H387="","",IF(I387&gt;=H387,"✅ Paid",IF(G387&lt;TODAY(),"🔴 Overdue",IF(G387&lt;=TODAY()+90,"🟡 Due Soon","⬜ Upcoming"))))</f>
        <v/>
      </c>
    </row>
    <row r="388" customFormat="false" ht="15" hidden="false" customHeight="false" outlineLevel="0" collapsed="false">
      <c r="A388" s="24" t="n">
        <v>386</v>
      </c>
      <c r="C388" s="26"/>
      <c r="D388" s="25" t="n">
        <f aca="false">IFERROR(INDEX('DATA ENTRY'!$S:$S,MATCH(C388,'DATA ENTRY'!$B:$B,0)),"")</f>
        <v>0</v>
      </c>
      <c r="E388" s="25" t="n">
        <f aca="false">IFERROR(INDEX('DATA ENTRY'!$C:$C,MATCH(C388,'DATA ENTRY'!$B:$B,0)),"")</f>
        <v>0</v>
      </c>
      <c r="F388" s="25" t="n">
        <f aca="false">IFERROR(INDEX('DATA ENTRY'!$E:$E,MATCH(C388,'DATA ENTRY'!$B:$B,0)),"")</f>
        <v>0</v>
      </c>
      <c r="G388" s="34"/>
      <c r="H388" s="35"/>
      <c r="I388" s="35"/>
      <c r="J388" s="34"/>
      <c r="K388" s="27" t="str">
        <f aca="false">IF(H388="","",MAX(0,H388-IF(I388="",0,I388)))</f>
        <v/>
      </c>
      <c r="L388" s="25" t="str">
        <f aca="true">IF(H388="","",IF(I388&gt;=H388,"✅ Paid",IF(G388&lt;TODAY(),"🔴 Overdue",IF(G388&lt;=TODAY()+90,"🟡 Due Soon","⬜ Upcoming"))))</f>
        <v/>
      </c>
    </row>
    <row r="389" customFormat="false" ht="15" hidden="false" customHeight="false" outlineLevel="0" collapsed="false">
      <c r="A389" s="24" t="n">
        <v>387</v>
      </c>
      <c r="C389" s="26"/>
      <c r="D389" s="25" t="n">
        <f aca="false">IFERROR(INDEX('DATA ENTRY'!$S:$S,MATCH(C389,'DATA ENTRY'!$B:$B,0)),"")</f>
        <v>0</v>
      </c>
      <c r="E389" s="25" t="n">
        <f aca="false">IFERROR(INDEX('DATA ENTRY'!$C:$C,MATCH(C389,'DATA ENTRY'!$B:$B,0)),"")</f>
        <v>0</v>
      </c>
      <c r="F389" s="25" t="n">
        <f aca="false">IFERROR(INDEX('DATA ENTRY'!$E:$E,MATCH(C389,'DATA ENTRY'!$B:$B,0)),"")</f>
        <v>0</v>
      </c>
      <c r="G389" s="34"/>
      <c r="H389" s="35"/>
      <c r="I389" s="35"/>
      <c r="J389" s="34"/>
      <c r="K389" s="27" t="str">
        <f aca="false">IF(H389="","",MAX(0,H389-IF(I389="",0,I389)))</f>
        <v/>
      </c>
      <c r="L389" s="25" t="str">
        <f aca="true">IF(H389="","",IF(I389&gt;=H389,"✅ Paid",IF(G389&lt;TODAY(),"🔴 Overdue",IF(G389&lt;=TODAY()+90,"🟡 Due Soon","⬜ Upcoming"))))</f>
        <v/>
      </c>
    </row>
    <row r="390" customFormat="false" ht="15" hidden="false" customHeight="false" outlineLevel="0" collapsed="false">
      <c r="A390" s="24" t="n">
        <v>388</v>
      </c>
      <c r="C390" s="26"/>
      <c r="D390" s="25" t="n">
        <f aca="false">IFERROR(INDEX('DATA ENTRY'!$S:$S,MATCH(C390,'DATA ENTRY'!$B:$B,0)),"")</f>
        <v>0</v>
      </c>
      <c r="E390" s="25" t="n">
        <f aca="false">IFERROR(INDEX('DATA ENTRY'!$C:$C,MATCH(C390,'DATA ENTRY'!$B:$B,0)),"")</f>
        <v>0</v>
      </c>
      <c r="F390" s="25" t="n">
        <f aca="false">IFERROR(INDEX('DATA ENTRY'!$E:$E,MATCH(C390,'DATA ENTRY'!$B:$B,0)),"")</f>
        <v>0</v>
      </c>
      <c r="G390" s="34"/>
      <c r="H390" s="35"/>
      <c r="I390" s="35"/>
      <c r="J390" s="34"/>
      <c r="K390" s="27" t="str">
        <f aca="false">IF(H390="","",MAX(0,H390-IF(I390="",0,I390)))</f>
        <v/>
      </c>
      <c r="L390" s="25" t="str">
        <f aca="true">IF(H390="","",IF(I390&gt;=H390,"✅ Paid",IF(G390&lt;TODAY(),"🔴 Overdue",IF(G390&lt;=TODAY()+90,"🟡 Due Soon","⬜ Upcoming"))))</f>
        <v/>
      </c>
    </row>
    <row r="391" customFormat="false" ht="15" hidden="false" customHeight="false" outlineLevel="0" collapsed="false">
      <c r="A391" s="24" t="n">
        <v>389</v>
      </c>
      <c r="C391" s="26"/>
      <c r="D391" s="25" t="n">
        <f aca="false">IFERROR(INDEX('DATA ENTRY'!$S:$S,MATCH(C391,'DATA ENTRY'!$B:$B,0)),"")</f>
        <v>0</v>
      </c>
      <c r="E391" s="25" t="n">
        <f aca="false">IFERROR(INDEX('DATA ENTRY'!$C:$C,MATCH(C391,'DATA ENTRY'!$B:$B,0)),"")</f>
        <v>0</v>
      </c>
      <c r="F391" s="25" t="n">
        <f aca="false">IFERROR(INDEX('DATA ENTRY'!$E:$E,MATCH(C391,'DATA ENTRY'!$B:$B,0)),"")</f>
        <v>0</v>
      </c>
      <c r="G391" s="34"/>
      <c r="H391" s="35"/>
      <c r="I391" s="35"/>
      <c r="J391" s="34"/>
      <c r="K391" s="27" t="str">
        <f aca="false">IF(H391="","",MAX(0,H391-IF(I391="",0,I391)))</f>
        <v/>
      </c>
      <c r="L391" s="25" t="str">
        <f aca="true">IF(H391="","",IF(I391&gt;=H391,"✅ Paid",IF(G391&lt;TODAY(),"🔴 Overdue",IF(G391&lt;=TODAY()+90,"🟡 Due Soon","⬜ Upcoming"))))</f>
        <v/>
      </c>
    </row>
    <row r="392" customFormat="false" ht="15" hidden="false" customHeight="false" outlineLevel="0" collapsed="false">
      <c r="A392" s="24" t="n">
        <v>390</v>
      </c>
      <c r="C392" s="26"/>
      <c r="D392" s="25" t="n">
        <f aca="false">IFERROR(INDEX('DATA ENTRY'!$S:$S,MATCH(C392,'DATA ENTRY'!$B:$B,0)),"")</f>
        <v>0</v>
      </c>
      <c r="E392" s="25" t="n">
        <f aca="false">IFERROR(INDEX('DATA ENTRY'!$C:$C,MATCH(C392,'DATA ENTRY'!$B:$B,0)),"")</f>
        <v>0</v>
      </c>
      <c r="F392" s="25" t="n">
        <f aca="false">IFERROR(INDEX('DATA ENTRY'!$E:$E,MATCH(C392,'DATA ENTRY'!$B:$B,0)),"")</f>
        <v>0</v>
      </c>
      <c r="G392" s="34"/>
      <c r="H392" s="35"/>
      <c r="I392" s="35"/>
      <c r="J392" s="34"/>
      <c r="K392" s="27" t="str">
        <f aca="false">IF(H392="","",MAX(0,H392-IF(I392="",0,I392)))</f>
        <v/>
      </c>
      <c r="L392" s="25" t="str">
        <f aca="true">IF(H392="","",IF(I392&gt;=H392,"✅ Paid",IF(G392&lt;TODAY(),"🔴 Overdue",IF(G392&lt;=TODAY()+90,"🟡 Due Soon","⬜ Upcoming"))))</f>
        <v/>
      </c>
    </row>
    <row r="393" customFormat="false" ht="15" hidden="false" customHeight="false" outlineLevel="0" collapsed="false">
      <c r="A393" s="24" t="n">
        <v>391</v>
      </c>
      <c r="C393" s="26"/>
      <c r="D393" s="25" t="n">
        <f aca="false">IFERROR(INDEX('DATA ENTRY'!$S:$S,MATCH(C393,'DATA ENTRY'!$B:$B,0)),"")</f>
        <v>0</v>
      </c>
      <c r="E393" s="25" t="n">
        <f aca="false">IFERROR(INDEX('DATA ENTRY'!$C:$C,MATCH(C393,'DATA ENTRY'!$B:$B,0)),"")</f>
        <v>0</v>
      </c>
      <c r="F393" s="25" t="n">
        <f aca="false">IFERROR(INDEX('DATA ENTRY'!$E:$E,MATCH(C393,'DATA ENTRY'!$B:$B,0)),"")</f>
        <v>0</v>
      </c>
      <c r="G393" s="34"/>
      <c r="H393" s="35"/>
      <c r="I393" s="35"/>
      <c r="J393" s="34"/>
      <c r="K393" s="27" t="str">
        <f aca="false">IF(H393="","",MAX(0,H393-IF(I393="",0,I393)))</f>
        <v/>
      </c>
      <c r="L393" s="25" t="str">
        <f aca="true">IF(H393="","",IF(I393&gt;=H393,"✅ Paid",IF(G393&lt;TODAY(),"🔴 Overdue",IF(G393&lt;=TODAY()+90,"🟡 Due Soon","⬜ Upcoming"))))</f>
        <v/>
      </c>
    </row>
    <row r="394" customFormat="false" ht="15" hidden="false" customHeight="false" outlineLevel="0" collapsed="false">
      <c r="A394" s="24" t="n">
        <v>392</v>
      </c>
      <c r="C394" s="26"/>
      <c r="D394" s="25" t="n">
        <f aca="false">IFERROR(INDEX('DATA ENTRY'!$S:$S,MATCH(C394,'DATA ENTRY'!$B:$B,0)),"")</f>
        <v>0</v>
      </c>
      <c r="E394" s="25" t="n">
        <f aca="false">IFERROR(INDEX('DATA ENTRY'!$C:$C,MATCH(C394,'DATA ENTRY'!$B:$B,0)),"")</f>
        <v>0</v>
      </c>
      <c r="F394" s="25" t="n">
        <f aca="false">IFERROR(INDEX('DATA ENTRY'!$E:$E,MATCH(C394,'DATA ENTRY'!$B:$B,0)),"")</f>
        <v>0</v>
      </c>
      <c r="G394" s="34"/>
      <c r="H394" s="35"/>
      <c r="I394" s="35"/>
      <c r="J394" s="34"/>
      <c r="K394" s="27" t="str">
        <f aca="false">IF(H394="","",MAX(0,H394-IF(I394="",0,I394)))</f>
        <v/>
      </c>
      <c r="L394" s="25" t="str">
        <f aca="true">IF(H394="","",IF(I394&gt;=H394,"✅ Paid",IF(G394&lt;TODAY(),"🔴 Overdue",IF(G394&lt;=TODAY()+90,"🟡 Due Soon","⬜ Upcoming"))))</f>
        <v/>
      </c>
    </row>
    <row r="395" customFormat="false" ht="15" hidden="false" customHeight="false" outlineLevel="0" collapsed="false">
      <c r="A395" s="24" t="n">
        <v>393</v>
      </c>
      <c r="C395" s="26"/>
      <c r="D395" s="25" t="n">
        <f aca="false">IFERROR(INDEX('DATA ENTRY'!$S:$S,MATCH(C395,'DATA ENTRY'!$B:$B,0)),"")</f>
        <v>0</v>
      </c>
      <c r="E395" s="25" t="n">
        <f aca="false">IFERROR(INDEX('DATA ENTRY'!$C:$C,MATCH(C395,'DATA ENTRY'!$B:$B,0)),"")</f>
        <v>0</v>
      </c>
      <c r="F395" s="25" t="n">
        <f aca="false">IFERROR(INDEX('DATA ENTRY'!$E:$E,MATCH(C395,'DATA ENTRY'!$B:$B,0)),"")</f>
        <v>0</v>
      </c>
      <c r="G395" s="34"/>
      <c r="H395" s="35"/>
      <c r="I395" s="35"/>
      <c r="J395" s="34"/>
      <c r="K395" s="27" t="str">
        <f aca="false">IF(H395="","",MAX(0,H395-IF(I395="",0,I395)))</f>
        <v/>
      </c>
      <c r="L395" s="25" t="str">
        <f aca="true">IF(H395="","",IF(I395&gt;=H395,"✅ Paid",IF(G395&lt;TODAY(),"🔴 Overdue",IF(G395&lt;=TODAY()+90,"🟡 Due Soon","⬜ Upcoming"))))</f>
        <v/>
      </c>
    </row>
    <row r="396" customFormat="false" ht="15" hidden="false" customHeight="false" outlineLevel="0" collapsed="false">
      <c r="A396" s="24" t="n">
        <v>394</v>
      </c>
      <c r="C396" s="26"/>
      <c r="D396" s="25" t="n">
        <f aca="false">IFERROR(INDEX('DATA ENTRY'!$S:$S,MATCH(C396,'DATA ENTRY'!$B:$B,0)),"")</f>
        <v>0</v>
      </c>
      <c r="E396" s="25" t="n">
        <f aca="false">IFERROR(INDEX('DATA ENTRY'!$C:$C,MATCH(C396,'DATA ENTRY'!$B:$B,0)),"")</f>
        <v>0</v>
      </c>
      <c r="F396" s="25" t="n">
        <f aca="false">IFERROR(INDEX('DATA ENTRY'!$E:$E,MATCH(C396,'DATA ENTRY'!$B:$B,0)),"")</f>
        <v>0</v>
      </c>
      <c r="G396" s="34"/>
      <c r="H396" s="35"/>
      <c r="I396" s="35"/>
      <c r="J396" s="34"/>
      <c r="K396" s="27" t="str">
        <f aca="false">IF(H396="","",MAX(0,H396-IF(I396="",0,I396)))</f>
        <v/>
      </c>
      <c r="L396" s="25" t="str">
        <f aca="true">IF(H396="","",IF(I396&gt;=H396,"✅ Paid",IF(G396&lt;TODAY(),"🔴 Overdue",IF(G396&lt;=TODAY()+90,"🟡 Due Soon","⬜ Upcoming"))))</f>
        <v/>
      </c>
    </row>
    <row r="397" customFormat="false" ht="15" hidden="false" customHeight="false" outlineLevel="0" collapsed="false">
      <c r="A397" s="24" t="n">
        <v>395</v>
      </c>
      <c r="C397" s="26"/>
      <c r="D397" s="25" t="n">
        <f aca="false">IFERROR(INDEX('DATA ENTRY'!$S:$S,MATCH(C397,'DATA ENTRY'!$B:$B,0)),"")</f>
        <v>0</v>
      </c>
      <c r="E397" s="25" t="n">
        <f aca="false">IFERROR(INDEX('DATA ENTRY'!$C:$C,MATCH(C397,'DATA ENTRY'!$B:$B,0)),"")</f>
        <v>0</v>
      </c>
      <c r="F397" s="25" t="n">
        <f aca="false">IFERROR(INDEX('DATA ENTRY'!$E:$E,MATCH(C397,'DATA ENTRY'!$B:$B,0)),"")</f>
        <v>0</v>
      </c>
      <c r="G397" s="34"/>
      <c r="H397" s="35"/>
      <c r="I397" s="35"/>
      <c r="J397" s="34"/>
      <c r="K397" s="27" t="str">
        <f aca="false">IF(H397="","",MAX(0,H397-IF(I397="",0,I397)))</f>
        <v/>
      </c>
      <c r="L397" s="25" t="str">
        <f aca="true">IF(H397="","",IF(I397&gt;=H397,"✅ Paid",IF(G397&lt;TODAY(),"🔴 Overdue",IF(G397&lt;=TODAY()+90,"🟡 Due Soon","⬜ Upcoming"))))</f>
        <v/>
      </c>
    </row>
    <row r="398" customFormat="false" ht="15" hidden="false" customHeight="false" outlineLevel="0" collapsed="false">
      <c r="A398" s="24" t="n">
        <v>396</v>
      </c>
      <c r="C398" s="26"/>
      <c r="D398" s="25" t="n">
        <f aca="false">IFERROR(INDEX('DATA ENTRY'!$S:$S,MATCH(C398,'DATA ENTRY'!$B:$B,0)),"")</f>
        <v>0</v>
      </c>
      <c r="E398" s="25" t="n">
        <f aca="false">IFERROR(INDEX('DATA ENTRY'!$C:$C,MATCH(C398,'DATA ENTRY'!$B:$B,0)),"")</f>
        <v>0</v>
      </c>
      <c r="F398" s="25" t="n">
        <f aca="false">IFERROR(INDEX('DATA ENTRY'!$E:$E,MATCH(C398,'DATA ENTRY'!$B:$B,0)),"")</f>
        <v>0</v>
      </c>
      <c r="G398" s="34"/>
      <c r="H398" s="35"/>
      <c r="I398" s="35"/>
      <c r="J398" s="34"/>
      <c r="K398" s="27" t="str">
        <f aca="false">IF(H398="","",MAX(0,H398-IF(I398="",0,I398)))</f>
        <v/>
      </c>
      <c r="L398" s="25" t="str">
        <f aca="true">IF(H398="","",IF(I398&gt;=H398,"✅ Paid",IF(G398&lt;TODAY(),"🔴 Overdue",IF(G398&lt;=TODAY()+90,"🟡 Due Soon","⬜ Upcoming"))))</f>
        <v/>
      </c>
    </row>
    <row r="399" customFormat="false" ht="15" hidden="false" customHeight="false" outlineLevel="0" collapsed="false">
      <c r="A399" s="24" t="n">
        <v>397</v>
      </c>
      <c r="C399" s="26"/>
      <c r="D399" s="25" t="n">
        <f aca="false">IFERROR(INDEX('DATA ENTRY'!$S:$S,MATCH(C399,'DATA ENTRY'!$B:$B,0)),"")</f>
        <v>0</v>
      </c>
      <c r="E399" s="25" t="n">
        <f aca="false">IFERROR(INDEX('DATA ENTRY'!$C:$C,MATCH(C399,'DATA ENTRY'!$B:$B,0)),"")</f>
        <v>0</v>
      </c>
      <c r="F399" s="25" t="n">
        <f aca="false">IFERROR(INDEX('DATA ENTRY'!$E:$E,MATCH(C399,'DATA ENTRY'!$B:$B,0)),"")</f>
        <v>0</v>
      </c>
      <c r="G399" s="34"/>
      <c r="H399" s="35"/>
      <c r="I399" s="35"/>
      <c r="J399" s="34"/>
      <c r="K399" s="27" t="str">
        <f aca="false">IF(H399="","",MAX(0,H399-IF(I399="",0,I399)))</f>
        <v/>
      </c>
      <c r="L399" s="25" t="str">
        <f aca="true">IF(H399="","",IF(I399&gt;=H399,"✅ Paid",IF(G399&lt;TODAY(),"🔴 Overdue",IF(G399&lt;=TODAY()+90,"🟡 Due Soon","⬜ Upcoming"))))</f>
        <v/>
      </c>
    </row>
    <row r="400" customFormat="false" ht="15" hidden="false" customHeight="false" outlineLevel="0" collapsed="false">
      <c r="A400" s="24" t="n">
        <v>398</v>
      </c>
      <c r="C400" s="26"/>
      <c r="D400" s="25" t="n">
        <f aca="false">IFERROR(INDEX('DATA ENTRY'!$S:$S,MATCH(C400,'DATA ENTRY'!$B:$B,0)),"")</f>
        <v>0</v>
      </c>
      <c r="E400" s="25" t="n">
        <f aca="false">IFERROR(INDEX('DATA ENTRY'!$C:$C,MATCH(C400,'DATA ENTRY'!$B:$B,0)),"")</f>
        <v>0</v>
      </c>
      <c r="F400" s="25" t="n">
        <f aca="false">IFERROR(INDEX('DATA ENTRY'!$E:$E,MATCH(C400,'DATA ENTRY'!$B:$B,0)),"")</f>
        <v>0</v>
      </c>
      <c r="G400" s="34"/>
      <c r="H400" s="35"/>
      <c r="I400" s="35"/>
      <c r="J400" s="34"/>
      <c r="K400" s="27" t="str">
        <f aca="false">IF(H400="","",MAX(0,H400-IF(I400="",0,I400)))</f>
        <v/>
      </c>
      <c r="L400" s="25" t="str">
        <f aca="true">IF(H400="","",IF(I400&gt;=H400,"✅ Paid",IF(G400&lt;TODAY(),"🔴 Overdue",IF(G400&lt;=TODAY()+90,"🟡 Due Soon","⬜ Upcoming"))))</f>
        <v/>
      </c>
    </row>
    <row r="401" customFormat="false" ht="15" hidden="false" customHeight="false" outlineLevel="0" collapsed="false">
      <c r="A401" s="24" t="n">
        <v>399</v>
      </c>
      <c r="C401" s="26"/>
      <c r="D401" s="25" t="n">
        <f aca="false">IFERROR(INDEX('DATA ENTRY'!$S:$S,MATCH(C401,'DATA ENTRY'!$B:$B,0)),"")</f>
        <v>0</v>
      </c>
      <c r="E401" s="25" t="n">
        <f aca="false">IFERROR(INDEX('DATA ENTRY'!$C:$C,MATCH(C401,'DATA ENTRY'!$B:$B,0)),"")</f>
        <v>0</v>
      </c>
      <c r="F401" s="25" t="n">
        <f aca="false">IFERROR(INDEX('DATA ENTRY'!$E:$E,MATCH(C401,'DATA ENTRY'!$B:$B,0)),"")</f>
        <v>0</v>
      </c>
      <c r="G401" s="34"/>
      <c r="H401" s="35"/>
      <c r="I401" s="35"/>
      <c r="J401" s="34"/>
      <c r="K401" s="27" t="str">
        <f aca="false">IF(H401="","",MAX(0,H401-IF(I401="",0,I401)))</f>
        <v/>
      </c>
      <c r="L401" s="25" t="str">
        <f aca="true">IF(H401="","",IF(I401&gt;=H401,"✅ Paid",IF(G401&lt;TODAY(),"🔴 Overdue",IF(G401&lt;=TODAY()+90,"🟡 Due Soon","⬜ Upcoming"))))</f>
        <v/>
      </c>
    </row>
    <row r="402" customFormat="false" ht="15" hidden="false" customHeight="false" outlineLevel="0" collapsed="false">
      <c r="A402" s="24" t="n">
        <v>400</v>
      </c>
      <c r="C402" s="26"/>
      <c r="D402" s="25" t="n">
        <f aca="false">IFERROR(INDEX('DATA ENTRY'!$S:$S,MATCH(C402,'DATA ENTRY'!$B:$B,0)),"")</f>
        <v>0</v>
      </c>
      <c r="E402" s="25" t="n">
        <f aca="false">IFERROR(INDEX('DATA ENTRY'!$C:$C,MATCH(C402,'DATA ENTRY'!$B:$B,0)),"")</f>
        <v>0</v>
      </c>
      <c r="F402" s="25" t="n">
        <f aca="false">IFERROR(INDEX('DATA ENTRY'!$E:$E,MATCH(C402,'DATA ENTRY'!$B:$B,0)),"")</f>
        <v>0</v>
      </c>
      <c r="G402" s="34"/>
      <c r="H402" s="35"/>
      <c r="I402" s="35"/>
      <c r="J402" s="34"/>
      <c r="K402" s="27" t="str">
        <f aca="false">IF(H402="","",MAX(0,H402-IF(I402="",0,I402)))</f>
        <v/>
      </c>
      <c r="L402" s="25" t="str">
        <f aca="true">IF(H402="","",IF(I402&gt;=H402,"✅ Paid",IF(G402&lt;TODAY(),"🔴 Overdue",IF(G402&lt;=TODAY()+90,"🟡 Due Soon","⬜ Upcoming"))))</f>
        <v/>
      </c>
    </row>
    <row r="403" customFormat="false" ht="15" hidden="false" customHeight="false" outlineLevel="0" collapsed="false">
      <c r="A403" s="24" t="n">
        <v>401</v>
      </c>
      <c r="C403" s="26"/>
      <c r="D403" s="25" t="n">
        <f aca="false">IFERROR(INDEX('DATA ENTRY'!$S:$S,MATCH(C403,'DATA ENTRY'!$B:$B,0)),"")</f>
        <v>0</v>
      </c>
      <c r="E403" s="25" t="n">
        <f aca="false">IFERROR(INDEX('DATA ENTRY'!$C:$C,MATCH(C403,'DATA ENTRY'!$B:$B,0)),"")</f>
        <v>0</v>
      </c>
      <c r="F403" s="25" t="n">
        <f aca="false">IFERROR(INDEX('DATA ENTRY'!$E:$E,MATCH(C403,'DATA ENTRY'!$B:$B,0)),"")</f>
        <v>0</v>
      </c>
      <c r="G403" s="34"/>
      <c r="H403" s="35"/>
      <c r="I403" s="35"/>
      <c r="J403" s="34"/>
      <c r="K403" s="27" t="str">
        <f aca="false">IF(H403="","",MAX(0,H403-IF(I403="",0,I403)))</f>
        <v/>
      </c>
      <c r="L403" s="25" t="str">
        <f aca="true">IF(H403="","",IF(I403&gt;=H403,"✅ Paid",IF(G403&lt;TODAY(),"🔴 Overdue",IF(G403&lt;=TODAY()+90,"🟡 Due Soon","⬜ Upcoming"))))</f>
        <v/>
      </c>
    </row>
    <row r="404" customFormat="false" ht="15" hidden="false" customHeight="false" outlineLevel="0" collapsed="false">
      <c r="A404" s="24" t="n">
        <v>402</v>
      </c>
      <c r="C404" s="26"/>
      <c r="D404" s="25" t="n">
        <f aca="false">IFERROR(INDEX('DATA ENTRY'!$S:$S,MATCH(C404,'DATA ENTRY'!$B:$B,0)),"")</f>
        <v>0</v>
      </c>
      <c r="E404" s="25" t="n">
        <f aca="false">IFERROR(INDEX('DATA ENTRY'!$C:$C,MATCH(C404,'DATA ENTRY'!$B:$B,0)),"")</f>
        <v>0</v>
      </c>
      <c r="F404" s="25" t="n">
        <f aca="false">IFERROR(INDEX('DATA ENTRY'!$E:$E,MATCH(C404,'DATA ENTRY'!$B:$B,0)),"")</f>
        <v>0</v>
      </c>
      <c r="G404" s="34"/>
      <c r="H404" s="35"/>
      <c r="I404" s="35"/>
      <c r="J404" s="34"/>
      <c r="K404" s="27" t="str">
        <f aca="false">IF(H404="","",MAX(0,H404-IF(I404="",0,I404)))</f>
        <v/>
      </c>
      <c r="L404" s="25" t="str">
        <f aca="true">IF(H404="","",IF(I404&gt;=H404,"✅ Paid",IF(G404&lt;TODAY(),"🔴 Overdue",IF(G404&lt;=TODAY()+90,"🟡 Due Soon","⬜ Upcoming"))))</f>
        <v/>
      </c>
    </row>
    <row r="405" customFormat="false" ht="15" hidden="false" customHeight="false" outlineLevel="0" collapsed="false">
      <c r="A405" s="24" t="n">
        <v>403</v>
      </c>
      <c r="C405" s="26"/>
      <c r="D405" s="25" t="n">
        <f aca="false">IFERROR(INDEX('DATA ENTRY'!$S:$S,MATCH(C405,'DATA ENTRY'!$B:$B,0)),"")</f>
        <v>0</v>
      </c>
      <c r="E405" s="25" t="n">
        <f aca="false">IFERROR(INDEX('DATA ENTRY'!$C:$C,MATCH(C405,'DATA ENTRY'!$B:$B,0)),"")</f>
        <v>0</v>
      </c>
      <c r="F405" s="25" t="n">
        <f aca="false">IFERROR(INDEX('DATA ENTRY'!$E:$E,MATCH(C405,'DATA ENTRY'!$B:$B,0)),"")</f>
        <v>0</v>
      </c>
      <c r="G405" s="34"/>
      <c r="H405" s="35"/>
      <c r="I405" s="35"/>
      <c r="J405" s="34"/>
      <c r="K405" s="27" t="str">
        <f aca="false">IF(H405="","",MAX(0,H405-IF(I405="",0,I405)))</f>
        <v/>
      </c>
      <c r="L405" s="25" t="str">
        <f aca="true">IF(H405="","",IF(I405&gt;=H405,"✅ Paid",IF(G405&lt;TODAY(),"🔴 Overdue",IF(G405&lt;=TODAY()+90,"🟡 Due Soon","⬜ Upcoming"))))</f>
        <v/>
      </c>
    </row>
    <row r="406" customFormat="false" ht="15" hidden="false" customHeight="false" outlineLevel="0" collapsed="false">
      <c r="A406" s="24" t="n">
        <v>404</v>
      </c>
      <c r="C406" s="26"/>
      <c r="D406" s="25" t="n">
        <f aca="false">IFERROR(INDEX('DATA ENTRY'!$S:$S,MATCH(C406,'DATA ENTRY'!$B:$B,0)),"")</f>
        <v>0</v>
      </c>
      <c r="E406" s="25" t="n">
        <f aca="false">IFERROR(INDEX('DATA ENTRY'!$C:$C,MATCH(C406,'DATA ENTRY'!$B:$B,0)),"")</f>
        <v>0</v>
      </c>
      <c r="F406" s="25" t="n">
        <f aca="false">IFERROR(INDEX('DATA ENTRY'!$E:$E,MATCH(C406,'DATA ENTRY'!$B:$B,0)),"")</f>
        <v>0</v>
      </c>
      <c r="G406" s="34"/>
      <c r="H406" s="35"/>
      <c r="I406" s="35"/>
      <c r="J406" s="34"/>
      <c r="K406" s="27" t="str">
        <f aca="false">IF(H406="","",MAX(0,H406-IF(I406="",0,I406)))</f>
        <v/>
      </c>
      <c r="L406" s="25" t="str">
        <f aca="true">IF(H406="","",IF(I406&gt;=H406,"✅ Paid",IF(G406&lt;TODAY(),"🔴 Overdue",IF(G406&lt;=TODAY()+90,"🟡 Due Soon","⬜ Upcoming"))))</f>
        <v/>
      </c>
    </row>
    <row r="407" customFormat="false" ht="15" hidden="false" customHeight="false" outlineLevel="0" collapsed="false">
      <c r="A407" s="24" t="n">
        <v>405</v>
      </c>
      <c r="C407" s="26"/>
      <c r="D407" s="25" t="n">
        <f aca="false">IFERROR(INDEX('DATA ENTRY'!$S:$S,MATCH(C407,'DATA ENTRY'!$B:$B,0)),"")</f>
        <v>0</v>
      </c>
      <c r="E407" s="25" t="n">
        <f aca="false">IFERROR(INDEX('DATA ENTRY'!$C:$C,MATCH(C407,'DATA ENTRY'!$B:$B,0)),"")</f>
        <v>0</v>
      </c>
      <c r="F407" s="25" t="n">
        <f aca="false">IFERROR(INDEX('DATA ENTRY'!$E:$E,MATCH(C407,'DATA ENTRY'!$B:$B,0)),"")</f>
        <v>0</v>
      </c>
      <c r="G407" s="34"/>
      <c r="H407" s="35"/>
      <c r="I407" s="35"/>
      <c r="J407" s="34"/>
      <c r="K407" s="27" t="str">
        <f aca="false">IF(H407="","",MAX(0,H407-IF(I407="",0,I407)))</f>
        <v/>
      </c>
      <c r="L407" s="25" t="str">
        <f aca="true">IF(H407="","",IF(I407&gt;=H407,"✅ Paid",IF(G407&lt;TODAY(),"🔴 Overdue",IF(G407&lt;=TODAY()+90,"🟡 Due Soon","⬜ Upcoming"))))</f>
        <v/>
      </c>
    </row>
    <row r="408" customFormat="false" ht="15" hidden="false" customHeight="false" outlineLevel="0" collapsed="false">
      <c r="A408" s="24" t="n">
        <v>406</v>
      </c>
      <c r="C408" s="26"/>
      <c r="D408" s="25" t="n">
        <f aca="false">IFERROR(INDEX('DATA ENTRY'!$S:$S,MATCH(C408,'DATA ENTRY'!$B:$B,0)),"")</f>
        <v>0</v>
      </c>
      <c r="E408" s="25" t="n">
        <f aca="false">IFERROR(INDEX('DATA ENTRY'!$C:$C,MATCH(C408,'DATA ENTRY'!$B:$B,0)),"")</f>
        <v>0</v>
      </c>
      <c r="F408" s="25" t="n">
        <f aca="false">IFERROR(INDEX('DATA ENTRY'!$E:$E,MATCH(C408,'DATA ENTRY'!$B:$B,0)),"")</f>
        <v>0</v>
      </c>
      <c r="G408" s="34"/>
      <c r="H408" s="35"/>
      <c r="I408" s="35"/>
      <c r="J408" s="34"/>
      <c r="K408" s="27" t="str">
        <f aca="false">IF(H408="","",MAX(0,H408-IF(I408="",0,I408)))</f>
        <v/>
      </c>
      <c r="L408" s="25" t="str">
        <f aca="true">IF(H408="","",IF(I408&gt;=H408,"✅ Paid",IF(G408&lt;TODAY(),"🔴 Overdue",IF(G408&lt;=TODAY()+90,"🟡 Due Soon","⬜ Upcoming"))))</f>
        <v/>
      </c>
    </row>
    <row r="409" customFormat="false" ht="15" hidden="false" customHeight="false" outlineLevel="0" collapsed="false">
      <c r="A409" s="24" t="n">
        <v>407</v>
      </c>
      <c r="C409" s="26"/>
      <c r="D409" s="25" t="n">
        <f aca="false">IFERROR(INDEX('DATA ENTRY'!$S:$S,MATCH(C409,'DATA ENTRY'!$B:$B,0)),"")</f>
        <v>0</v>
      </c>
      <c r="E409" s="25" t="n">
        <f aca="false">IFERROR(INDEX('DATA ENTRY'!$C:$C,MATCH(C409,'DATA ENTRY'!$B:$B,0)),"")</f>
        <v>0</v>
      </c>
      <c r="F409" s="25" t="n">
        <f aca="false">IFERROR(INDEX('DATA ENTRY'!$E:$E,MATCH(C409,'DATA ENTRY'!$B:$B,0)),"")</f>
        <v>0</v>
      </c>
      <c r="G409" s="34"/>
      <c r="H409" s="35"/>
      <c r="I409" s="35"/>
      <c r="J409" s="34"/>
      <c r="K409" s="27" t="str">
        <f aca="false">IF(H409="","",MAX(0,H409-IF(I409="",0,I409)))</f>
        <v/>
      </c>
      <c r="L409" s="25" t="str">
        <f aca="true">IF(H409="","",IF(I409&gt;=H409,"✅ Paid",IF(G409&lt;TODAY(),"🔴 Overdue",IF(G409&lt;=TODAY()+90,"🟡 Due Soon","⬜ Upcoming"))))</f>
        <v/>
      </c>
    </row>
    <row r="410" customFormat="false" ht="15" hidden="false" customHeight="false" outlineLevel="0" collapsed="false">
      <c r="A410" s="24" t="n">
        <v>408</v>
      </c>
      <c r="C410" s="26"/>
      <c r="D410" s="25" t="n">
        <f aca="false">IFERROR(INDEX('DATA ENTRY'!$S:$S,MATCH(C410,'DATA ENTRY'!$B:$B,0)),"")</f>
        <v>0</v>
      </c>
      <c r="E410" s="25" t="n">
        <f aca="false">IFERROR(INDEX('DATA ENTRY'!$C:$C,MATCH(C410,'DATA ENTRY'!$B:$B,0)),"")</f>
        <v>0</v>
      </c>
      <c r="F410" s="25" t="n">
        <f aca="false">IFERROR(INDEX('DATA ENTRY'!$E:$E,MATCH(C410,'DATA ENTRY'!$B:$B,0)),"")</f>
        <v>0</v>
      </c>
      <c r="G410" s="34"/>
      <c r="H410" s="35"/>
      <c r="I410" s="35"/>
      <c r="J410" s="34"/>
      <c r="K410" s="27" t="str">
        <f aca="false">IF(H410="","",MAX(0,H410-IF(I410="",0,I410)))</f>
        <v/>
      </c>
      <c r="L410" s="25" t="str">
        <f aca="true">IF(H410="","",IF(I410&gt;=H410,"✅ Paid",IF(G410&lt;TODAY(),"🔴 Overdue",IF(G410&lt;=TODAY()+90,"🟡 Due Soon","⬜ Upcoming"))))</f>
        <v/>
      </c>
    </row>
    <row r="411" customFormat="false" ht="15" hidden="false" customHeight="false" outlineLevel="0" collapsed="false">
      <c r="A411" s="24" t="n">
        <v>409</v>
      </c>
      <c r="C411" s="26"/>
      <c r="D411" s="25" t="n">
        <f aca="false">IFERROR(INDEX('DATA ENTRY'!$S:$S,MATCH(C411,'DATA ENTRY'!$B:$B,0)),"")</f>
        <v>0</v>
      </c>
      <c r="E411" s="25" t="n">
        <f aca="false">IFERROR(INDEX('DATA ENTRY'!$C:$C,MATCH(C411,'DATA ENTRY'!$B:$B,0)),"")</f>
        <v>0</v>
      </c>
      <c r="F411" s="25" t="n">
        <f aca="false">IFERROR(INDEX('DATA ENTRY'!$E:$E,MATCH(C411,'DATA ENTRY'!$B:$B,0)),"")</f>
        <v>0</v>
      </c>
      <c r="G411" s="34"/>
      <c r="H411" s="35"/>
      <c r="I411" s="35"/>
      <c r="J411" s="34"/>
      <c r="K411" s="27" t="str">
        <f aca="false">IF(H411="","",MAX(0,H411-IF(I411="",0,I411)))</f>
        <v/>
      </c>
      <c r="L411" s="25" t="str">
        <f aca="true">IF(H411="","",IF(I411&gt;=H411,"✅ Paid",IF(G411&lt;TODAY(),"🔴 Overdue",IF(G411&lt;=TODAY()+90,"🟡 Due Soon","⬜ Upcoming"))))</f>
        <v/>
      </c>
    </row>
    <row r="412" customFormat="false" ht="15" hidden="false" customHeight="false" outlineLevel="0" collapsed="false">
      <c r="A412" s="24" t="n">
        <v>410</v>
      </c>
      <c r="C412" s="26"/>
      <c r="D412" s="25" t="n">
        <f aca="false">IFERROR(INDEX('DATA ENTRY'!$S:$S,MATCH(C412,'DATA ENTRY'!$B:$B,0)),"")</f>
        <v>0</v>
      </c>
      <c r="E412" s="25" t="n">
        <f aca="false">IFERROR(INDEX('DATA ENTRY'!$C:$C,MATCH(C412,'DATA ENTRY'!$B:$B,0)),"")</f>
        <v>0</v>
      </c>
      <c r="F412" s="25" t="n">
        <f aca="false">IFERROR(INDEX('DATA ENTRY'!$E:$E,MATCH(C412,'DATA ENTRY'!$B:$B,0)),"")</f>
        <v>0</v>
      </c>
      <c r="G412" s="34"/>
      <c r="H412" s="35"/>
      <c r="I412" s="35"/>
      <c r="J412" s="34"/>
      <c r="K412" s="27" t="str">
        <f aca="false">IF(H412="","",MAX(0,H412-IF(I412="",0,I412)))</f>
        <v/>
      </c>
      <c r="L412" s="25" t="str">
        <f aca="true">IF(H412="","",IF(I412&gt;=H412,"✅ Paid",IF(G412&lt;TODAY(),"🔴 Overdue",IF(G412&lt;=TODAY()+90,"🟡 Due Soon","⬜ Upcoming"))))</f>
        <v/>
      </c>
    </row>
    <row r="413" customFormat="false" ht="15" hidden="false" customHeight="false" outlineLevel="0" collapsed="false">
      <c r="A413" s="24" t="n">
        <v>411</v>
      </c>
      <c r="C413" s="26"/>
      <c r="D413" s="25" t="n">
        <f aca="false">IFERROR(INDEX('DATA ENTRY'!$S:$S,MATCH(C413,'DATA ENTRY'!$B:$B,0)),"")</f>
        <v>0</v>
      </c>
      <c r="E413" s="25" t="n">
        <f aca="false">IFERROR(INDEX('DATA ENTRY'!$C:$C,MATCH(C413,'DATA ENTRY'!$B:$B,0)),"")</f>
        <v>0</v>
      </c>
      <c r="F413" s="25" t="n">
        <f aca="false">IFERROR(INDEX('DATA ENTRY'!$E:$E,MATCH(C413,'DATA ENTRY'!$B:$B,0)),"")</f>
        <v>0</v>
      </c>
      <c r="G413" s="34"/>
      <c r="H413" s="35"/>
      <c r="I413" s="35"/>
      <c r="J413" s="34"/>
      <c r="K413" s="27" t="str">
        <f aca="false">IF(H413="","",MAX(0,H413-IF(I413="",0,I413)))</f>
        <v/>
      </c>
      <c r="L413" s="25" t="str">
        <f aca="true">IF(H413="","",IF(I413&gt;=H413,"✅ Paid",IF(G413&lt;TODAY(),"🔴 Overdue",IF(G413&lt;=TODAY()+90,"🟡 Due Soon","⬜ Upcoming"))))</f>
        <v/>
      </c>
    </row>
    <row r="414" customFormat="false" ht="15" hidden="false" customHeight="false" outlineLevel="0" collapsed="false">
      <c r="A414" s="24" t="n">
        <v>412</v>
      </c>
      <c r="C414" s="26"/>
      <c r="D414" s="25" t="n">
        <f aca="false">IFERROR(INDEX('DATA ENTRY'!$S:$S,MATCH(C414,'DATA ENTRY'!$B:$B,0)),"")</f>
        <v>0</v>
      </c>
      <c r="E414" s="25" t="n">
        <f aca="false">IFERROR(INDEX('DATA ENTRY'!$C:$C,MATCH(C414,'DATA ENTRY'!$B:$B,0)),"")</f>
        <v>0</v>
      </c>
      <c r="F414" s="25" t="n">
        <f aca="false">IFERROR(INDEX('DATA ENTRY'!$E:$E,MATCH(C414,'DATA ENTRY'!$B:$B,0)),"")</f>
        <v>0</v>
      </c>
      <c r="G414" s="34"/>
      <c r="H414" s="35"/>
      <c r="I414" s="35"/>
      <c r="J414" s="34"/>
      <c r="K414" s="27" t="str">
        <f aca="false">IF(H414="","",MAX(0,H414-IF(I414="",0,I414)))</f>
        <v/>
      </c>
      <c r="L414" s="25" t="str">
        <f aca="true">IF(H414="","",IF(I414&gt;=H414,"✅ Paid",IF(G414&lt;TODAY(),"🔴 Overdue",IF(G414&lt;=TODAY()+90,"🟡 Due Soon","⬜ Upcoming"))))</f>
        <v/>
      </c>
    </row>
    <row r="415" customFormat="false" ht="15" hidden="false" customHeight="false" outlineLevel="0" collapsed="false">
      <c r="A415" s="24" t="n">
        <v>413</v>
      </c>
      <c r="C415" s="26"/>
      <c r="D415" s="25" t="n">
        <f aca="false">IFERROR(INDEX('DATA ENTRY'!$S:$S,MATCH(C415,'DATA ENTRY'!$B:$B,0)),"")</f>
        <v>0</v>
      </c>
      <c r="E415" s="25" t="n">
        <f aca="false">IFERROR(INDEX('DATA ENTRY'!$C:$C,MATCH(C415,'DATA ENTRY'!$B:$B,0)),"")</f>
        <v>0</v>
      </c>
      <c r="F415" s="25" t="n">
        <f aca="false">IFERROR(INDEX('DATA ENTRY'!$E:$E,MATCH(C415,'DATA ENTRY'!$B:$B,0)),"")</f>
        <v>0</v>
      </c>
      <c r="G415" s="34"/>
      <c r="H415" s="35"/>
      <c r="I415" s="35"/>
      <c r="J415" s="34"/>
      <c r="K415" s="27" t="str">
        <f aca="false">IF(H415="","",MAX(0,H415-IF(I415="",0,I415)))</f>
        <v/>
      </c>
      <c r="L415" s="25" t="str">
        <f aca="true">IF(H415="","",IF(I415&gt;=H415,"✅ Paid",IF(G415&lt;TODAY(),"🔴 Overdue",IF(G415&lt;=TODAY()+90,"🟡 Due Soon","⬜ Upcoming"))))</f>
        <v/>
      </c>
    </row>
    <row r="416" customFormat="false" ht="15" hidden="false" customHeight="false" outlineLevel="0" collapsed="false">
      <c r="A416" s="24" t="n">
        <v>414</v>
      </c>
      <c r="C416" s="26"/>
      <c r="D416" s="25" t="n">
        <f aca="false">IFERROR(INDEX('DATA ENTRY'!$S:$S,MATCH(C416,'DATA ENTRY'!$B:$B,0)),"")</f>
        <v>0</v>
      </c>
      <c r="E416" s="25" t="n">
        <f aca="false">IFERROR(INDEX('DATA ENTRY'!$C:$C,MATCH(C416,'DATA ENTRY'!$B:$B,0)),"")</f>
        <v>0</v>
      </c>
      <c r="F416" s="25" t="n">
        <f aca="false">IFERROR(INDEX('DATA ENTRY'!$E:$E,MATCH(C416,'DATA ENTRY'!$B:$B,0)),"")</f>
        <v>0</v>
      </c>
      <c r="G416" s="34"/>
      <c r="H416" s="35"/>
      <c r="I416" s="35"/>
      <c r="J416" s="34"/>
      <c r="K416" s="27" t="str">
        <f aca="false">IF(H416="","",MAX(0,H416-IF(I416="",0,I416)))</f>
        <v/>
      </c>
      <c r="L416" s="25" t="str">
        <f aca="true">IF(H416="","",IF(I416&gt;=H416,"✅ Paid",IF(G416&lt;TODAY(),"🔴 Overdue",IF(G416&lt;=TODAY()+90,"🟡 Due Soon","⬜ Upcoming"))))</f>
        <v/>
      </c>
    </row>
    <row r="417" customFormat="false" ht="15" hidden="false" customHeight="false" outlineLevel="0" collapsed="false">
      <c r="A417" s="24" t="n">
        <v>415</v>
      </c>
      <c r="C417" s="26"/>
      <c r="D417" s="25" t="n">
        <f aca="false">IFERROR(INDEX('DATA ENTRY'!$S:$S,MATCH(C417,'DATA ENTRY'!$B:$B,0)),"")</f>
        <v>0</v>
      </c>
      <c r="E417" s="25" t="n">
        <f aca="false">IFERROR(INDEX('DATA ENTRY'!$C:$C,MATCH(C417,'DATA ENTRY'!$B:$B,0)),"")</f>
        <v>0</v>
      </c>
      <c r="F417" s="25" t="n">
        <f aca="false">IFERROR(INDEX('DATA ENTRY'!$E:$E,MATCH(C417,'DATA ENTRY'!$B:$B,0)),"")</f>
        <v>0</v>
      </c>
      <c r="G417" s="34"/>
      <c r="H417" s="35"/>
      <c r="I417" s="35"/>
      <c r="J417" s="34"/>
      <c r="K417" s="27" t="str">
        <f aca="false">IF(H417="","",MAX(0,H417-IF(I417="",0,I417)))</f>
        <v/>
      </c>
      <c r="L417" s="25" t="str">
        <f aca="true">IF(H417="","",IF(I417&gt;=H417,"✅ Paid",IF(G417&lt;TODAY(),"🔴 Overdue",IF(G417&lt;=TODAY()+90,"🟡 Due Soon","⬜ Upcoming"))))</f>
        <v/>
      </c>
    </row>
    <row r="418" customFormat="false" ht="15" hidden="false" customHeight="false" outlineLevel="0" collapsed="false">
      <c r="A418" s="24" t="n">
        <v>416</v>
      </c>
      <c r="C418" s="26"/>
      <c r="D418" s="25" t="n">
        <f aca="false">IFERROR(INDEX('DATA ENTRY'!$S:$S,MATCH(C418,'DATA ENTRY'!$B:$B,0)),"")</f>
        <v>0</v>
      </c>
      <c r="E418" s="25" t="n">
        <f aca="false">IFERROR(INDEX('DATA ENTRY'!$C:$C,MATCH(C418,'DATA ENTRY'!$B:$B,0)),"")</f>
        <v>0</v>
      </c>
      <c r="F418" s="25" t="n">
        <f aca="false">IFERROR(INDEX('DATA ENTRY'!$E:$E,MATCH(C418,'DATA ENTRY'!$B:$B,0)),"")</f>
        <v>0</v>
      </c>
      <c r="G418" s="34"/>
      <c r="H418" s="35"/>
      <c r="I418" s="35"/>
      <c r="J418" s="34"/>
      <c r="K418" s="27" t="str">
        <f aca="false">IF(H418="","",MAX(0,H418-IF(I418="",0,I418)))</f>
        <v/>
      </c>
      <c r="L418" s="25" t="str">
        <f aca="true">IF(H418="","",IF(I418&gt;=H418,"✅ Paid",IF(G418&lt;TODAY(),"🔴 Overdue",IF(G418&lt;=TODAY()+90,"🟡 Due Soon","⬜ Upcoming"))))</f>
        <v/>
      </c>
    </row>
    <row r="419" customFormat="false" ht="15" hidden="false" customHeight="false" outlineLevel="0" collapsed="false">
      <c r="A419" s="24" t="n">
        <v>417</v>
      </c>
      <c r="C419" s="26"/>
      <c r="D419" s="25" t="n">
        <f aca="false">IFERROR(INDEX('DATA ENTRY'!$S:$S,MATCH(C419,'DATA ENTRY'!$B:$B,0)),"")</f>
        <v>0</v>
      </c>
      <c r="E419" s="25" t="n">
        <f aca="false">IFERROR(INDEX('DATA ENTRY'!$C:$C,MATCH(C419,'DATA ENTRY'!$B:$B,0)),"")</f>
        <v>0</v>
      </c>
      <c r="F419" s="25" t="n">
        <f aca="false">IFERROR(INDEX('DATA ENTRY'!$E:$E,MATCH(C419,'DATA ENTRY'!$B:$B,0)),"")</f>
        <v>0</v>
      </c>
      <c r="G419" s="34"/>
      <c r="H419" s="35"/>
      <c r="I419" s="35"/>
      <c r="J419" s="34"/>
      <c r="K419" s="27" t="str">
        <f aca="false">IF(H419="","",MAX(0,H419-IF(I419="",0,I419)))</f>
        <v/>
      </c>
      <c r="L419" s="25" t="str">
        <f aca="true">IF(H419="","",IF(I419&gt;=H419,"✅ Paid",IF(G419&lt;TODAY(),"🔴 Overdue",IF(G419&lt;=TODAY()+90,"🟡 Due Soon","⬜ Upcoming"))))</f>
        <v/>
      </c>
    </row>
    <row r="420" customFormat="false" ht="15" hidden="false" customHeight="false" outlineLevel="0" collapsed="false">
      <c r="A420" s="24" t="n">
        <v>418</v>
      </c>
      <c r="C420" s="26"/>
      <c r="D420" s="25" t="n">
        <f aca="false">IFERROR(INDEX('DATA ENTRY'!$S:$S,MATCH(C420,'DATA ENTRY'!$B:$B,0)),"")</f>
        <v>0</v>
      </c>
      <c r="E420" s="25" t="n">
        <f aca="false">IFERROR(INDEX('DATA ENTRY'!$C:$C,MATCH(C420,'DATA ENTRY'!$B:$B,0)),"")</f>
        <v>0</v>
      </c>
      <c r="F420" s="25" t="n">
        <f aca="false">IFERROR(INDEX('DATA ENTRY'!$E:$E,MATCH(C420,'DATA ENTRY'!$B:$B,0)),"")</f>
        <v>0</v>
      </c>
      <c r="G420" s="34"/>
      <c r="H420" s="35"/>
      <c r="I420" s="35"/>
      <c r="J420" s="34"/>
      <c r="K420" s="27" t="str">
        <f aca="false">IF(H420="","",MAX(0,H420-IF(I420="",0,I420)))</f>
        <v/>
      </c>
      <c r="L420" s="25" t="str">
        <f aca="true">IF(H420="","",IF(I420&gt;=H420,"✅ Paid",IF(G420&lt;TODAY(),"🔴 Overdue",IF(G420&lt;=TODAY()+90,"🟡 Due Soon","⬜ Upcoming"))))</f>
        <v/>
      </c>
    </row>
    <row r="421" customFormat="false" ht="15" hidden="false" customHeight="false" outlineLevel="0" collapsed="false">
      <c r="A421" s="24" t="n">
        <v>419</v>
      </c>
      <c r="C421" s="26"/>
      <c r="D421" s="25" t="n">
        <f aca="false">IFERROR(INDEX('DATA ENTRY'!$S:$S,MATCH(C421,'DATA ENTRY'!$B:$B,0)),"")</f>
        <v>0</v>
      </c>
      <c r="E421" s="25" t="n">
        <f aca="false">IFERROR(INDEX('DATA ENTRY'!$C:$C,MATCH(C421,'DATA ENTRY'!$B:$B,0)),"")</f>
        <v>0</v>
      </c>
      <c r="F421" s="25" t="n">
        <f aca="false">IFERROR(INDEX('DATA ENTRY'!$E:$E,MATCH(C421,'DATA ENTRY'!$B:$B,0)),"")</f>
        <v>0</v>
      </c>
      <c r="G421" s="34"/>
      <c r="H421" s="35"/>
      <c r="I421" s="35"/>
      <c r="J421" s="34"/>
      <c r="K421" s="27" t="str">
        <f aca="false">IF(H421="","",MAX(0,H421-IF(I421="",0,I421)))</f>
        <v/>
      </c>
      <c r="L421" s="25" t="str">
        <f aca="true">IF(H421="","",IF(I421&gt;=H421,"✅ Paid",IF(G421&lt;TODAY(),"🔴 Overdue",IF(G421&lt;=TODAY()+90,"🟡 Due Soon","⬜ Upcoming"))))</f>
        <v/>
      </c>
    </row>
    <row r="422" customFormat="false" ht="15" hidden="false" customHeight="false" outlineLevel="0" collapsed="false">
      <c r="A422" s="24" t="n">
        <v>420</v>
      </c>
      <c r="C422" s="26"/>
      <c r="D422" s="25" t="n">
        <f aca="false">IFERROR(INDEX('DATA ENTRY'!$S:$S,MATCH(C422,'DATA ENTRY'!$B:$B,0)),"")</f>
        <v>0</v>
      </c>
      <c r="E422" s="25" t="n">
        <f aca="false">IFERROR(INDEX('DATA ENTRY'!$C:$C,MATCH(C422,'DATA ENTRY'!$B:$B,0)),"")</f>
        <v>0</v>
      </c>
      <c r="F422" s="25" t="n">
        <f aca="false">IFERROR(INDEX('DATA ENTRY'!$E:$E,MATCH(C422,'DATA ENTRY'!$B:$B,0)),"")</f>
        <v>0</v>
      </c>
      <c r="G422" s="34"/>
      <c r="H422" s="35"/>
      <c r="I422" s="35"/>
      <c r="J422" s="34"/>
      <c r="K422" s="27" t="str">
        <f aca="false">IF(H422="","",MAX(0,H422-IF(I422="",0,I422)))</f>
        <v/>
      </c>
      <c r="L422" s="25" t="str">
        <f aca="true">IF(H422="","",IF(I422&gt;=H422,"✅ Paid",IF(G422&lt;TODAY(),"🔴 Overdue",IF(G422&lt;=TODAY()+90,"🟡 Due Soon","⬜ Upcoming"))))</f>
        <v/>
      </c>
    </row>
    <row r="423" customFormat="false" ht="15" hidden="false" customHeight="false" outlineLevel="0" collapsed="false">
      <c r="A423" s="24" t="n">
        <v>421</v>
      </c>
      <c r="C423" s="26"/>
      <c r="D423" s="25" t="n">
        <f aca="false">IFERROR(INDEX('DATA ENTRY'!$S:$S,MATCH(C423,'DATA ENTRY'!$B:$B,0)),"")</f>
        <v>0</v>
      </c>
      <c r="E423" s="25" t="n">
        <f aca="false">IFERROR(INDEX('DATA ENTRY'!$C:$C,MATCH(C423,'DATA ENTRY'!$B:$B,0)),"")</f>
        <v>0</v>
      </c>
      <c r="F423" s="25" t="n">
        <f aca="false">IFERROR(INDEX('DATA ENTRY'!$E:$E,MATCH(C423,'DATA ENTRY'!$B:$B,0)),"")</f>
        <v>0</v>
      </c>
      <c r="G423" s="34"/>
      <c r="H423" s="35"/>
      <c r="I423" s="35"/>
      <c r="J423" s="34"/>
      <c r="K423" s="27" t="str">
        <f aca="false">IF(H423="","",MAX(0,H423-IF(I423="",0,I423)))</f>
        <v/>
      </c>
      <c r="L423" s="25" t="str">
        <f aca="true">IF(H423="","",IF(I423&gt;=H423,"✅ Paid",IF(G423&lt;TODAY(),"🔴 Overdue",IF(G423&lt;=TODAY()+90,"🟡 Due Soon","⬜ Upcoming"))))</f>
        <v/>
      </c>
    </row>
    <row r="424" customFormat="false" ht="15" hidden="false" customHeight="false" outlineLevel="0" collapsed="false">
      <c r="A424" s="24" t="n">
        <v>422</v>
      </c>
      <c r="C424" s="26"/>
      <c r="D424" s="25" t="n">
        <f aca="false">IFERROR(INDEX('DATA ENTRY'!$S:$S,MATCH(C424,'DATA ENTRY'!$B:$B,0)),"")</f>
        <v>0</v>
      </c>
      <c r="E424" s="25" t="n">
        <f aca="false">IFERROR(INDEX('DATA ENTRY'!$C:$C,MATCH(C424,'DATA ENTRY'!$B:$B,0)),"")</f>
        <v>0</v>
      </c>
      <c r="F424" s="25" t="n">
        <f aca="false">IFERROR(INDEX('DATA ENTRY'!$E:$E,MATCH(C424,'DATA ENTRY'!$B:$B,0)),"")</f>
        <v>0</v>
      </c>
      <c r="G424" s="34"/>
      <c r="H424" s="35"/>
      <c r="I424" s="35"/>
      <c r="J424" s="34"/>
      <c r="K424" s="27" t="str">
        <f aca="false">IF(H424="","",MAX(0,H424-IF(I424="",0,I424)))</f>
        <v/>
      </c>
      <c r="L424" s="25" t="str">
        <f aca="true">IF(H424="","",IF(I424&gt;=H424,"✅ Paid",IF(G424&lt;TODAY(),"🔴 Overdue",IF(G424&lt;=TODAY()+90,"🟡 Due Soon","⬜ Upcoming"))))</f>
        <v/>
      </c>
    </row>
    <row r="425" customFormat="false" ht="15" hidden="false" customHeight="false" outlineLevel="0" collapsed="false">
      <c r="A425" s="24" t="n">
        <v>423</v>
      </c>
      <c r="C425" s="26"/>
      <c r="D425" s="25" t="n">
        <f aca="false">IFERROR(INDEX('DATA ENTRY'!$S:$S,MATCH(C425,'DATA ENTRY'!$B:$B,0)),"")</f>
        <v>0</v>
      </c>
      <c r="E425" s="25" t="n">
        <f aca="false">IFERROR(INDEX('DATA ENTRY'!$C:$C,MATCH(C425,'DATA ENTRY'!$B:$B,0)),"")</f>
        <v>0</v>
      </c>
      <c r="F425" s="25" t="n">
        <f aca="false">IFERROR(INDEX('DATA ENTRY'!$E:$E,MATCH(C425,'DATA ENTRY'!$B:$B,0)),"")</f>
        <v>0</v>
      </c>
      <c r="G425" s="34"/>
      <c r="H425" s="35"/>
      <c r="I425" s="35"/>
      <c r="J425" s="34"/>
      <c r="K425" s="27" t="str">
        <f aca="false">IF(H425="","",MAX(0,H425-IF(I425="",0,I425)))</f>
        <v/>
      </c>
      <c r="L425" s="25" t="str">
        <f aca="true">IF(H425="","",IF(I425&gt;=H425,"✅ Paid",IF(G425&lt;TODAY(),"🔴 Overdue",IF(G425&lt;=TODAY()+90,"🟡 Due Soon","⬜ Upcoming"))))</f>
        <v/>
      </c>
    </row>
    <row r="426" customFormat="false" ht="15" hidden="false" customHeight="false" outlineLevel="0" collapsed="false">
      <c r="A426" s="24" t="n">
        <v>424</v>
      </c>
      <c r="C426" s="26"/>
      <c r="D426" s="25" t="n">
        <f aca="false">IFERROR(INDEX('DATA ENTRY'!$S:$S,MATCH(C426,'DATA ENTRY'!$B:$B,0)),"")</f>
        <v>0</v>
      </c>
      <c r="E426" s="25" t="n">
        <f aca="false">IFERROR(INDEX('DATA ENTRY'!$C:$C,MATCH(C426,'DATA ENTRY'!$B:$B,0)),"")</f>
        <v>0</v>
      </c>
      <c r="F426" s="25" t="n">
        <f aca="false">IFERROR(INDEX('DATA ENTRY'!$E:$E,MATCH(C426,'DATA ENTRY'!$B:$B,0)),"")</f>
        <v>0</v>
      </c>
      <c r="G426" s="34"/>
      <c r="H426" s="35"/>
      <c r="I426" s="35"/>
      <c r="J426" s="34"/>
      <c r="K426" s="27" t="str">
        <f aca="false">IF(H426="","",MAX(0,H426-IF(I426="",0,I426)))</f>
        <v/>
      </c>
      <c r="L426" s="25" t="str">
        <f aca="true">IF(H426="","",IF(I426&gt;=H426,"✅ Paid",IF(G426&lt;TODAY(),"🔴 Overdue",IF(G426&lt;=TODAY()+90,"🟡 Due Soon","⬜ Upcoming"))))</f>
        <v/>
      </c>
    </row>
    <row r="427" customFormat="false" ht="15" hidden="false" customHeight="false" outlineLevel="0" collapsed="false">
      <c r="A427" s="24" t="n">
        <v>425</v>
      </c>
      <c r="C427" s="26"/>
      <c r="D427" s="25" t="n">
        <f aca="false">IFERROR(INDEX('DATA ENTRY'!$S:$S,MATCH(C427,'DATA ENTRY'!$B:$B,0)),"")</f>
        <v>0</v>
      </c>
      <c r="E427" s="25" t="n">
        <f aca="false">IFERROR(INDEX('DATA ENTRY'!$C:$C,MATCH(C427,'DATA ENTRY'!$B:$B,0)),"")</f>
        <v>0</v>
      </c>
      <c r="F427" s="25" t="n">
        <f aca="false">IFERROR(INDEX('DATA ENTRY'!$E:$E,MATCH(C427,'DATA ENTRY'!$B:$B,0)),"")</f>
        <v>0</v>
      </c>
      <c r="G427" s="34"/>
      <c r="H427" s="35"/>
      <c r="I427" s="35"/>
      <c r="J427" s="34"/>
      <c r="K427" s="27" t="str">
        <f aca="false">IF(H427="","",MAX(0,H427-IF(I427="",0,I427)))</f>
        <v/>
      </c>
      <c r="L427" s="25" t="str">
        <f aca="true">IF(H427="","",IF(I427&gt;=H427,"✅ Paid",IF(G427&lt;TODAY(),"🔴 Overdue",IF(G427&lt;=TODAY()+90,"🟡 Due Soon","⬜ Upcoming"))))</f>
        <v/>
      </c>
    </row>
    <row r="428" customFormat="false" ht="15" hidden="false" customHeight="false" outlineLevel="0" collapsed="false">
      <c r="A428" s="24" t="n">
        <v>426</v>
      </c>
      <c r="C428" s="26"/>
      <c r="D428" s="25" t="n">
        <f aca="false">IFERROR(INDEX('DATA ENTRY'!$S:$S,MATCH(C428,'DATA ENTRY'!$B:$B,0)),"")</f>
        <v>0</v>
      </c>
      <c r="E428" s="25" t="n">
        <f aca="false">IFERROR(INDEX('DATA ENTRY'!$C:$C,MATCH(C428,'DATA ENTRY'!$B:$B,0)),"")</f>
        <v>0</v>
      </c>
      <c r="F428" s="25" t="n">
        <f aca="false">IFERROR(INDEX('DATA ENTRY'!$E:$E,MATCH(C428,'DATA ENTRY'!$B:$B,0)),"")</f>
        <v>0</v>
      </c>
      <c r="G428" s="34"/>
      <c r="H428" s="35"/>
      <c r="I428" s="35"/>
      <c r="J428" s="34"/>
      <c r="K428" s="27" t="str">
        <f aca="false">IF(H428="","",MAX(0,H428-IF(I428="",0,I428)))</f>
        <v/>
      </c>
      <c r="L428" s="25" t="str">
        <f aca="true">IF(H428="","",IF(I428&gt;=H428,"✅ Paid",IF(G428&lt;TODAY(),"🔴 Overdue",IF(G428&lt;=TODAY()+90,"🟡 Due Soon","⬜ Upcoming"))))</f>
        <v/>
      </c>
    </row>
    <row r="429" customFormat="false" ht="15" hidden="false" customHeight="false" outlineLevel="0" collapsed="false">
      <c r="A429" s="24" t="n">
        <v>427</v>
      </c>
      <c r="C429" s="26"/>
      <c r="D429" s="25" t="n">
        <f aca="false">IFERROR(INDEX('DATA ENTRY'!$S:$S,MATCH(C429,'DATA ENTRY'!$B:$B,0)),"")</f>
        <v>0</v>
      </c>
      <c r="E429" s="25" t="n">
        <f aca="false">IFERROR(INDEX('DATA ENTRY'!$C:$C,MATCH(C429,'DATA ENTRY'!$B:$B,0)),"")</f>
        <v>0</v>
      </c>
      <c r="F429" s="25" t="n">
        <f aca="false">IFERROR(INDEX('DATA ENTRY'!$E:$E,MATCH(C429,'DATA ENTRY'!$B:$B,0)),"")</f>
        <v>0</v>
      </c>
      <c r="G429" s="34"/>
      <c r="H429" s="35"/>
      <c r="I429" s="35"/>
      <c r="J429" s="34"/>
      <c r="K429" s="27" t="str">
        <f aca="false">IF(H429="","",MAX(0,H429-IF(I429="",0,I429)))</f>
        <v/>
      </c>
      <c r="L429" s="25" t="str">
        <f aca="true">IF(H429="","",IF(I429&gt;=H429,"✅ Paid",IF(G429&lt;TODAY(),"🔴 Overdue",IF(G429&lt;=TODAY()+90,"🟡 Due Soon","⬜ Upcoming"))))</f>
        <v/>
      </c>
    </row>
    <row r="430" customFormat="false" ht="15" hidden="false" customHeight="false" outlineLevel="0" collapsed="false">
      <c r="A430" s="24" t="n">
        <v>428</v>
      </c>
      <c r="C430" s="26"/>
      <c r="D430" s="25" t="n">
        <f aca="false">IFERROR(INDEX('DATA ENTRY'!$S:$S,MATCH(C430,'DATA ENTRY'!$B:$B,0)),"")</f>
        <v>0</v>
      </c>
      <c r="E430" s="25" t="n">
        <f aca="false">IFERROR(INDEX('DATA ENTRY'!$C:$C,MATCH(C430,'DATA ENTRY'!$B:$B,0)),"")</f>
        <v>0</v>
      </c>
      <c r="F430" s="25" t="n">
        <f aca="false">IFERROR(INDEX('DATA ENTRY'!$E:$E,MATCH(C430,'DATA ENTRY'!$B:$B,0)),"")</f>
        <v>0</v>
      </c>
      <c r="G430" s="34"/>
      <c r="H430" s="35"/>
      <c r="I430" s="35"/>
      <c r="J430" s="34"/>
      <c r="K430" s="27" t="str">
        <f aca="false">IF(H430="","",MAX(0,H430-IF(I430="",0,I430)))</f>
        <v/>
      </c>
      <c r="L430" s="25" t="str">
        <f aca="true">IF(H430="","",IF(I430&gt;=H430,"✅ Paid",IF(G430&lt;TODAY(),"🔴 Overdue",IF(G430&lt;=TODAY()+90,"🟡 Due Soon","⬜ Upcoming"))))</f>
        <v/>
      </c>
    </row>
    <row r="431" customFormat="false" ht="15" hidden="false" customHeight="false" outlineLevel="0" collapsed="false">
      <c r="A431" s="24" t="n">
        <v>429</v>
      </c>
      <c r="C431" s="26"/>
      <c r="D431" s="25" t="n">
        <f aca="false">IFERROR(INDEX('DATA ENTRY'!$S:$S,MATCH(C431,'DATA ENTRY'!$B:$B,0)),"")</f>
        <v>0</v>
      </c>
      <c r="E431" s="25" t="n">
        <f aca="false">IFERROR(INDEX('DATA ENTRY'!$C:$C,MATCH(C431,'DATA ENTRY'!$B:$B,0)),"")</f>
        <v>0</v>
      </c>
      <c r="F431" s="25" t="n">
        <f aca="false">IFERROR(INDEX('DATA ENTRY'!$E:$E,MATCH(C431,'DATA ENTRY'!$B:$B,0)),"")</f>
        <v>0</v>
      </c>
      <c r="G431" s="34"/>
      <c r="H431" s="35"/>
      <c r="I431" s="35"/>
      <c r="J431" s="34"/>
      <c r="K431" s="27" t="str">
        <f aca="false">IF(H431="","",MAX(0,H431-IF(I431="",0,I431)))</f>
        <v/>
      </c>
      <c r="L431" s="25" t="str">
        <f aca="true">IF(H431="","",IF(I431&gt;=H431,"✅ Paid",IF(G431&lt;TODAY(),"🔴 Overdue",IF(G431&lt;=TODAY()+90,"🟡 Due Soon","⬜ Upcoming"))))</f>
        <v/>
      </c>
    </row>
    <row r="432" customFormat="false" ht="15" hidden="false" customHeight="false" outlineLevel="0" collapsed="false">
      <c r="A432" s="24" t="n">
        <v>430</v>
      </c>
      <c r="C432" s="26"/>
      <c r="D432" s="25" t="n">
        <f aca="false">IFERROR(INDEX('DATA ENTRY'!$S:$S,MATCH(C432,'DATA ENTRY'!$B:$B,0)),"")</f>
        <v>0</v>
      </c>
      <c r="E432" s="25" t="n">
        <f aca="false">IFERROR(INDEX('DATA ENTRY'!$C:$C,MATCH(C432,'DATA ENTRY'!$B:$B,0)),"")</f>
        <v>0</v>
      </c>
      <c r="F432" s="25" t="n">
        <f aca="false">IFERROR(INDEX('DATA ENTRY'!$E:$E,MATCH(C432,'DATA ENTRY'!$B:$B,0)),"")</f>
        <v>0</v>
      </c>
      <c r="G432" s="34"/>
      <c r="H432" s="35"/>
      <c r="I432" s="35"/>
      <c r="J432" s="34"/>
      <c r="K432" s="27" t="str">
        <f aca="false">IF(H432="","",MAX(0,H432-IF(I432="",0,I432)))</f>
        <v/>
      </c>
      <c r="L432" s="25" t="str">
        <f aca="true">IF(H432="","",IF(I432&gt;=H432,"✅ Paid",IF(G432&lt;TODAY(),"🔴 Overdue",IF(G432&lt;=TODAY()+90,"🟡 Due Soon","⬜ Upcoming"))))</f>
        <v/>
      </c>
    </row>
    <row r="433" customFormat="false" ht="15" hidden="false" customHeight="false" outlineLevel="0" collapsed="false">
      <c r="A433" s="24" t="n">
        <v>431</v>
      </c>
      <c r="C433" s="26"/>
      <c r="D433" s="25" t="n">
        <f aca="false">IFERROR(INDEX('DATA ENTRY'!$S:$S,MATCH(C433,'DATA ENTRY'!$B:$B,0)),"")</f>
        <v>0</v>
      </c>
      <c r="E433" s="25" t="n">
        <f aca="false">IFERROR(INDEX('DATA ENTRY'!$C:$C,MATCH(C433,'DATA ENTRY'!$B:$B,0)),"")</f>
        <v>0</v>
      </c>
      <c r="F433" s="25" t="n">
        <f aca="false">IFERROR(INDEX('DATA ENTRY'!$E:$E,MATCH(C433,'DATA ENTRY'!$B:$B,0)),"")</f>
        <v>0</v>
      </c>
      <c r="G433" s="34"/>
      <c r="H433" s="35"/>
      <c r="I433" s="35"/>
      <c r="J433" s="34"/>
      <c r="K433" s="27" t="str">
        <f aca="false">IF(H433="","",MAX(0,H433-IF(I433="",0,I433)))</f>
        <v/>
      </c>
      <c r="L433" s="25" t="str">
        <f aca="true">IF(H433="","",IF(I433&gt;=H433,"✅ Paid",IF(G433&lt;TODAY(),"🔴 Overdue",IF(G433&lt;=TODAY()+90,"🟡 Due Soon","⬜ Upcoming"))))</f>
        <v/>
      </c>
    </row>
    <row r="434" customFormat="false" ht="15" hidden="false" customHeight="false" outlineLevel="0" collapsed="false">
      <c r="A434" s="24" t="n">
        <v>432</v>
      </c>
      <c r="C434" s="26"/>
      <c r="D434" s="25" t="n">
        <f aca="false">IFERROR(INDEX('DATA ENTRY'!$S:$S,MATCH(C434,'DATA ENTRY'!$B:$B,0)),"")</f>
        <v>0</v>
      </c>
      <c r="E434" s="25" t="n">
        <f aca="false">IFERROR(INDEX('DATA ENTRY'!$C:$C,MATCH(C434,'DATA ENTRY'!$B:$B,0)),"")</f>
        <v>0</v>
      </c>
      <c r="F434" s="25" t="n">
        <f aca="false">IFERROR(INDEX('DATA ENTRY'!$E:$E,MATCH(C434,'DATA ENTRY'!$B:$B,0)),"")</f>
        <v>0</v>
      </c>
      <c r="G434" s="34"/>
      <c r="H434" s="35"/>
      <c r="I434" s="35"/>
      <c r="J434" s="34"/>
      <c r="K434" s="27" t="str">
        <f aca="false">IF(H434="","",MAX(0,H434-IF(I434="",0,I434)))</f>
        <v/>
      </c>
      <c r="L434" s="25" t="str">
        <f aca="true">IF(H434="","",IF(I434&gt;=H434,"✅ Paid",IF(G434&lt;TODAY(),"🔴 Overdue",IF(G434&lt;=TODAY()+90,"🟡 Due Soon","⬜ Upcoming"))))</f>
        <v/>
      </c>
    </row>
    <row r="435" customFormat="false" ht="15" hidden="false" customHeight="false" outlineLevel="0" collapsed="false">
      <c r="A435" s="24" t="n">
        <v>433</v>
      </c>
      <c r="C435" s="26"/>
      <c r="D435" s="25" t="n">
        <f aca="false">IFERROR(INDEX('DATA ENTRY'!$S:$S,MATCH(C435,'DATA ENTRY'!$B:$B,0)),"")</f>
        <v>0</v>
      </c>
      <c r="E435" s="25" t="n">
        <f aca="false">IFERROR(INDEX('DATA ENTRY'!$C:$C,MATCH(C435,'DATA ENTRY'!$B:$B,0)),"")</f>
        <v>0</v>
      </c>
      <c r="F435" s="25" t="n">
        <f aca="false">IFERROR(INDEX('DATA ENTRY'!$E:$E,MATCH(C435,'DATA ENTRY'!$B:$B,0)),"")</f>
        <v>0</v>
      </c>
      <c r="G435" s="34"/>
      <c r="H435" s="35"/>
      <c r="I435" s="35"/>
      <c r="J435" s="34"/>
      <c r="K435" s="27" t="str">
        <f aca="false">IF(H435="","",MAX(0,H435-IF(I435="",0,I435)))</f>
        <v/>
      </c>
      <c r="L435" s="25" t="str">
        <f aca="true">IF(H435="","",IF(I435&gt;=H435,"✅ Paid",IF(G435&lt;TODAY(),"🔴 Overdue",IF(G435&lt;=TODAY()+90,"🟡 Due Soon","⬜ Upcoming"))))</f>
        <v/>
      </c>
    </row>
    <row r="436" customFormat="false" ht="15" hidden="false" customHeight="false" outlineLevel="0" collapsed="false">
      <c r="A436" s="24" t="n">
        <v>434</v>
      </c>
      <c r="C436" s="26"/>
      <c r="D436" s="25" t="n">
        <f aca="false">IFERROR(INDEX('DATA ENTRY'!$S:$S,MATCH(C436,'DATA ENTRY'!$B:$B,0)),"")</f>
        <v>0</v>
      </c>
      <c r="E436" s="25" t="n">
        <f aca="false">IFERROR(INDEX('DATA ENTRY'!$C:$C,MATCH(C436,'DATA ENTRY'!$B:$B,0)),"")</f>
        <v>0</v>
      </c>
      <c r="F436" s="25" t="n">
        <f aca="false">IFERROR(INDEX('DATA ENTRY'!$E:$E,MATCH(C436,'DATA ENTRY'!$B:$B,0)),"")</f>
        <v>0</v>
      </c>
      <c r="G436" s="34"/>
      <c r="H436" s="35"/>
      <c r="I436" s="35"/>
      <c r="J436" s="34"/>
      <c r="K436" s="27" t="str">
        <f aca="false">IF(H436="","",MAX(0,H436-IF(I436="",0,I436)))</f>
        <v/>
      </c>
      <c r="L436" s="25" t="str">
        <f aca="true">IF(H436="","",IF(I436&gt;=H436,"✅ Paid",IF(G436&lt;TODAY(),"🔴 Overdue",IF(G436&lt;=TODAY()+90,"🟡 Due Soon","⬜ Upcoming"))))</f>
        <v/>
      </c>
    </row>
    <row r="437" customFormat="false" ht="15" hidden="false" customHeight="false" outlineLevel="0" collapsed="false">
      <c r="A437" s="24" t="n">
        <v>435</v>
      </c>
      <c r="C437" s="26"/>
      <c r="D437" s="25" t="n">
        <f aca="false">IFERROR(INDEX('DATA ENTRY'!$S:$S,MATCH(C437,'DATA ENTRY'!$B:$B,0)),"")</f>
        <v>0</v>
      </c>
      <c r="E437" s="25" t="n">
        <f aca="false">IFERROR(INDEX('DATA ENTRY'!$C:$C,MATCH(C437,'DATA ENTRY'!$B:$B,0)),"")</f>
        <v>0</v>
      </c>
      <c r="F437" s="25" t="n">
        <f aca="false">IFERROR(INDEX('DATA ENTRY'!$E:$E,MATCH(C437,'DATA ENTRY'!$B:$B,0)),"")</f>
        <v>0</v>
      </c>
      <c r="G437" s="34"/>
      <c r="H437" s="35"/>
      <c r="I437" s="35"/>
      <c r="J437" s="34"/>
      <c r="K437" s="27" t="str">
        <f aca="false">IF(H437="","",MAX(0,H437-IF(I437="",0,I437)))</f>
        <v/>
      </c>
      <c r="L437" s="25" t="str">
        <f aca="true">IF(H437="","",IF(I437&gt;=H437,"✅ Paid",IF(G437&lt;TODAY(),"🔴 Overdue",IF(G437&lt;=TODAY()+90,"🟡 Due Soon","⬜ Upcoming"))))</f>
        <v/>
      </c>
    </row>
    <row r="438" customFormat="false" ht="15" hidden="false" customHeight="false" outlineLevel="0" collapsed="false">
      <c r="A438" s="24" t="n">
        <v>436</v>
      </c>
      <c r="C438" s="26"/>
      <c r="D438" s="25" t="n">
        <f aca="false">IFERROR(INDEX('DATA ENTRY'!$S:$S,MATCH(C438,'DATA ENTRY'!$B:$B,0)),"")</f>
        <v>0</v>
      </c>
      <c r="E438" s="25" t="n">
        <f aca="false">IFERROR(INDEX('DATA ENTRY'!$C:$C,MATCH(C438,'DATA ENTRY'!$B:$B,0)),"")</f>
        <v>0</v>
      </c>
      <c r="F438" s="25" t="n">
        <f aca="false">IFERROR(INDEX('DATA ENTRY'!$E:$E,MATCH(C438,'DATA ENTRY'!$B:$B,0)),"")</f>
        <v>0</v>
      </c>
      <c r="G438" s="34"/>
      <c r="H438" s="35"/>
      <c r="I438" s="35"/>
      <c r="J438" s="34"/>
      <c r="K438" s="27" t="str">
        <f aca="false">IF(H438="","",MAX(0,H438-IF(I438="",0,I438)))</f>
        <v/>
      </c>
      <c r="L438" s="25" t="str">
        <f aca="true">IF(H438="","",IF(I438&gt;=H438,"✅ Paid",IF(G438&lt;TODAY(),"🔴 Overdue",IF(G438&lt;=TODAY()+90,"🟡 Due Soon","⬜ Upcoming"))))</f>
        <v/>
      </c>
    </row>
    <row r="439" customFormat="false" ht="15" hidden="false" customHeight="false" outlineLevel="0" collapsed="false">
      <c r="A439" s="24" t="n">
        <v>437</v>
      </c>
      <c r="C439" s="26"/>
      <c r="D439" s="25" t="n">
        <f aca="false">IFERROR(INDEX('DATA ENTRY'!$S:$S,MATCH(C439,'DATA ENTRY'!$B:$B,0)),"")</f>
        <v>0</v>
      </c>
      <c r="E439" s="25" t="n">
        <f aca="false">IFERROR(INDEX('DATA ENTRY'!$C:$C,MATCH(C439,'DATA ENTRY'!$B:$B,0)),"")</f>
        <v>0</v>
      </c>
      <c r="F439" s="25" t="n">
        <f aca="false">IFERROR(INDEX('DATA ENTRY'!$E:$E,MATCH(C439,'DATA ENTRY'!$B:$B,0)),"")</f>
        <v>0</v>
      </c>
      <c r="G439" s="34"/>
      <c r="H439" s="35"/>
      <c r="I439" s="35"/>
      <c r="J439" s="34"/>
      <c r="K439" s="27" t="str">
        <f aca="false">IF(H439="","",MAX(0,H439-IF(I439="",0,I439)))</f>
        <v/>
      </c>
      <c r="L439" s="25" t="str">
        <f aca="true">IF(H439="","",IF(I439&gt;=H439,"✅ Paid",IF(G439&lt;TODAY(),"🔴 Overdue",IF(G439&lt;=TODAY()+90,"🟡 Due Soon","⬜ Upcoming"))))</f>
        <v/>
      </c>
    </row>
    <row r="440" customFormat="false" ht="15" hidden="false" customHeight="false" outlineLevel="0" collapsed="false">
      <c r="A440" s="24" t="n">
        <v>438</v>
      </c>
      <c r="C440" s="26"/>
      <c r="D440" s="25" t="n">
        <f aca="false">IFERROR(INDEX('DATA ENTRY'!$S:$S,MATCH(C440,'DATA ENTRY'!$B:$B,0)),"")</f>
        <v>0</v>
      </c>
      <c r="E440" s="25" t="n">
        <f aca="false">IFERROR(INDEX('DATA ENTRY'!$C:$C,MATCH(C440,'DATA ENTRY'!$B:$B,0)),"")</f>
        <v>0</v>
      </c>
      <c r="F440" s="25" t="n">
        <f aca="false">IFERROR(INDEX('DATA ENTRY'!$E:$E,MATCH(C440,'DATA ENTRY'!$B:$B,0)),"")</f>
        <v>0</v>
      </c>
      <c r="G440" s="34"/>
      <c r="H440" s="35"/>
      <c r="I440" s="35"/>
      <c r="J440" s="34"/>
      <c r="K440" s="27" t="str">
        <f aca="false">IF(H440="","",MAX(0,H440-IF(I440="",0,I440)))</f>
        <v/>
      </c>
      <c r="L440" s="25" t="str">
        <f aca="true">IF(H440="","",IF(I440&gt;=H440,"✅ Paid",IF(G440&lt;TODAY(),"🔴 Overdue",IF(G440&lt;=TODAY()+90,"🟡 Due Soon","⬜ Upcoming"))))</f>
        <v/>
      </c>
    </row>
    <row r="441" customFormat="false" ht="15" hidden="false" customHeight="false" outlineLevel="0" collapsed="false">
      <c r="A441" s="24" t="n">
        <v>439</v>
      </c>
      <c r="C441" s="26"/>
      <c r="D441" s="25" t="n">
        <f aca="false">IFERROR(INDEX('DATA ENTRY'!$S:$S,MATCH(C441,'DATA ENTRY'!$B:$B,0)),"")</f>
        <v>0</v>
      </c>
      <c r="E441" s="25" t="n">
        <f aca="false">IFERROR(INDEX('DATA ENTRY'!$C:$C,MATCH(C441,'DATA ENTRY'!$B:$B,0)),"")</f>
        <v>0</v>
      </c>
      <c r="F441" s="25" t="n">
        <f aca="false">IFERROR(INDEX('DATA ENTRY'!$E:$E,MATCH(C441,'DATA ENTRY'!$B:$B,0)),"")</f>
        <v>0</v>
      </c>
      <c r="G441" s="34"/>
      <c r="H441" s="35"/>
      <c r="I441" s="35"/>
      <c r="J441" s="34"/>
      <c r="K441" s="27" t="str">
        <f aca="false">IF(H441="","",MAX(0,H441-IF(I441="",0,I441)))</f>
        <v/>
      </c>
      <c r="L441" s="25" t="str">
        <f aca="true">IF(H441="","",IF(I441&gt;=H441,"✅ Paid",IF(G441&lt;TODAY(),"🔴 Overdue",IF(G441&lt;=TODAY()+90,"🟡 Due Soon","⬜ Upcoming"))))</f>
        <v/>
      </c>
    </row>
    <row r="442" customFormat="false" ht="15" hidden="false" customHeight="false" outlineLevel="0" collapsed="false">
      <c r="A442" s="24" t="n">
        <v>440</v>
      </c>
      <c r="C442" s="26"/>
      <c r="D442" s="25" t="n">
        <f aca="false">IFERROR(INDEX('DATA ENTRY'!$S:$S,MATCH(C442,'DATA ENTRY'!$B:$B,0)),"")</f>
        <v>0</v>
      </c>
      <c r="E442" s="25" t="n">
        <f aca="false">IFERROR(INDEX('DATA ENTRY'!$C:$C,MATCH(C442,'DATA ENTRY'!$B:$B,0)),"")</f>
        <v>0</v>
      </c>
      <c r="F442" s="25" t="n">
        <f aca="false">IFERROR(INDEX('DATA ENTRY'!$E:$E,MATCH(C442,'DATA ENTRY'!$B:$B,0)),"")</f>
        <v>0</v>
      </c>
      <c r="G442" s="34"/>
      <c r="H442" s="35"/>
      <c r="I442" s="35"/>
      <c r="J442" s="34"/>
      <c r="K442" s="27" t="str">
        <f aca="false">IF(H442="","",MAX(0,H442-IF(I442="",0,I442)))</f>
        <v/>
      </c>
      <c r="L442" s="25" t="str">
        <f aca="true">IF(H442="","",IF(I442&gt;=H442,"✅ Paid",IF(G442&lt;TODAY(),"🔴 Overdue",IF(G442&lt;=TODAY()+90,"🟡 Due Soon","⬜ Upcoming"))))</f>
        <v/>
      </c>
    </row>
    <row r="443" customFormat="false" ht="15" hidden="false" customHeight="false" outlineLevel="0" collapsed="false">
      <c r="A443" s="24" t="n">
        <v>441</v>
      </c>
      <c r="C443" s="26"/>
      <c r="D443" s="25" t="n">
        <f aca="false">IFERROR(INDEX('DATA ENTRY'!$S:$S,MATCH(C443,'DATA ENTRY'!$B:$B,0)),"")</f>
        <v>0</v>
      </c>
      <c r="E443" s="25" t="n">
        <f aca="false">IFERROR(INDEX('DATA ENTRY'!$C:$C,MATCH(C443,'DATA ENTRY'!$B:$B,0)),"")</f>
        <v>0</v>
      </c>
      <c r="F443" s="25" t="n">
        <f aca="false">IFERROR(INDEX('DATA ENTRY'!$E:$E,MATCH(C443,'DATA ENTRY'!$B:$B,0)),"")</f>
        <v>0</v>
      </c>
      <c r="G443" s="34"/>
      <c r="H443" s="35"/>
      <c r="I443" s="35"/>
      <c r="J443" s="34"/>
      <c r="K443" s="27" t="str">
        <f aca="false">IF(H443="","",MAX(0,H443-IF(I443="",0,I443)))</f>
        <v/>
      </c>
      <c r="L443" s="25" t="str">
        <f aca="true">IF(H443="","",IF(I443&gt;=H443,"✅ Paid",IF(G443&lt;TODAY(),"🔴 Overdue",IF(G443&lt;=TODAY()+90,"🟡 Due Soon","⬜ Upcoming"))))</f>
        <v/>
      </c>
    </row>
    <row r="444" customFormat="false" ht="15" hidden="false" customHeight="false" outlineLevel="0" collapsed="false">
      <c r="A444" s="24" t="n">
        <v>442</v>
      </c>
      <c r="C444" s="26"/>
      <c r="D444" s="25" t="n">
        <f aca="false">IFERROR(INDEX('DATA ENTRY'!$S:$S,MATCH(C444,'DATA ENTRY'!$B:$B,0)),"")</f>
        <v>0</v>
      </c>
      <c r="E444" s="25" t="n">
        <f aca="false">IFERROR(INDEX('DATA ENTRY'!$C:$C,MATCH(C444,'DATA ENTRY'!$B:$B,0)),"")</f>
        <v>0</v>
      </c>
      <c r="F444" s="25" t="n">
        <f aca="false">IFERROR(INDEX('DATA ENTRY'!$E:$E,MATCH(C444,'DATA ENTRY'!$B:$B,0)),"")</f>
        <v>0</v>
      </c>
      <c r="G444" s="34"/>
      <c r="H444" s="35"/>
      <c r="I444" s="35"/>
      <c r="J444" s="34"/>
      <c r="K444" s="27" t="str">
        <f aca="false">IF(H444="","",MAX(0,H444-IF(I444="",0,I444)))</f>
        <v/>
      </c>
      <c r="L444" s="25" t="str">
        <f aca="true">IF(H444="","",IF(I444&gt;=H444,"✅ Paid",IF(G444&lt;TODAY(),"🔴 Overdue",IF(G444&lt;=TODAY()+90,"🟡 Due Soon","⬜ Upcoming"))))</f>
        <v/>
      </c>
    </row>
    <row r="445" customFormat="false" ht="15" hidden="false" customHeight="false" outlineLevel="0" collapsed="false">
      <c r="A445" s="24" t="n">
        <v>443</v>
      </c>
      <c r="C445" s="26"/>
      <c r="D445" s="25" t="n">
        <f aca="false">IFERROR(INDEX('DATA ENTRY'!$S:$S,MATCH(C445,'DATA ENTRY'!$B:$B,0)),"")</f>
        <v>0</v>
      </c>
      <c r="E445" s="25" t="n">
        <f aca="false">IFERROR(INDEX('DATA ENTRY'!$C:$C,MATCH(C445,'DATA ENTRY'!$B:$B,0)),"")</f>
        <v>0</v>
      </c>
      <c r="F445" s="25" t="n">
        <f aca="false">IFERROR(INDEX('DATA ENTRY'!$E:$E,MATCH(C445,'DATA ENTRY'!$B:$B,0)),"")</f>
        <v>0</v>
      </c>
      <c r="G445" s="34"/>
      <c r="H445" s="35"/>
      <c r="I445" s="35"/>
      <c r="J445" s="34"/>
      <c r="K445" s="27" t="str">
        <f aca="false">IF(H445="","",MAX(0,H445-IF(I445="",0,I445)))</f>
        <v/>
      </c>
      <c r="L445" s="25" t="str">
        <f aca="true">IF(H445="","",IF(I445&gt;=H445,"✅ Paid",IF(G445&lt;TODAY(),"🔴 Overdue",IF(G445&lt;=TODAY()+90,"🟡 Due Soon","⬜ Upcoming"))))</f>
        <v/>
      </c>
    </row>
    <row r="446" customFormat="false" ht="15" hidden="false" customHeight="false" outlineLevel="0" collapsed="false">
      <c r="A446" s="24" t="n">
        <v>444</v>
      </c>
      <c r="C446" s="26"/>
      <c r="D446" s="25" t="n">
        <f aca="false">IFERROR(INDEX('DATA ENTRY'!$S:$S,MATCH(C446,'DATA ENTRY'!$B:$B,0)),"")</f>
        <v>0</v>
      </c>
      <c r="E446" s="25" t="n">
        <f aca="false">IFERROR(INDEX('DATA ENTRY'!$C:$C,MATCH(C446,'DATA ENTRY'!$B:$B,0)),"")</f>
        <v>0</v>
      </c>
      <c r="F446" s="25" t="n">
        <f aca="false">IFERROR(INDEX('DATA ENTRY'!$E:$E,MATCH(C446,'DATA ENTRY'!$B:$B,0)),"")</f>
        <v>0</v>
      </c>
      <c r="G446" s="34"/>
      <c r="H446" s="35"/>
      <c r="I446" s="35"/>
      <c r="J446" s="34"/>
      <c r="K446" s="27" t="str">
        <f aca="false">IF(H446="","",MAX(0,H446-IF(I446="",0,I446)))</f>
        <v/>
      </c>
      <c r="L446" s="25" t="str">
        <f aca="true">IF(H446="","",IF(I446&gt;=H446,"✅ Paid",IF(G446&lt;TODAY(),"🔴 Overdue",IF(G446&lt;=TODAY()+90,"🟡 Due Soon","⬜ Upcoming"))))</f>
        <v/>
      </c>
    </row>
    <row r="447" customFormat="false" ht="15" hidden="false" customHeight="false" outlineLevel="0" collapsed="false">
      <c r="A447" s="24" t="n">
        <v>445</v>
      </c>
      <c r="C447" s="26"/>
      <c r="D447" s="25" t="n">
        <f aca="false">IFERROR(INDEX('DATA ENTRY'!$S:$S,MATCH(C447,'DATA ENTRY'!$B:$B,0)),"")</f>
        <v>0</v>
      </c>
      <c r="E447" s="25" t="n">
        <f aca="false">IFERROR(INDEX('DATA ENTRY'!$C:$C,MATCH(C447,'DATA ENTRY'!$B:$B,0)),"")</f>
        <v>0</v>
      </c>
      <c r="F447" s="25" t="n">
        <f aca="false">IFERROR(INDEX('DATA ENTRY'!$E:$E,MATCH(C447,'DATA ENTRY'!$B:$B,0)),"")</f>
        <v>0</v>
      </c>
      <c r="G447" s="34"/>
      <c r="H447" s="35"/>
      <c r="I447" s="35"/>
      <c r="J447" s="34"/>
      <c r="K447" s="27" t="str">
        <f aca="false">IF(H447="","",MAX(0,H447-IF(I447="",0,I447)))</f>
        <v/>
      </c>
      <c r="L447" s="25" t="str">
        <f aca="true">IF(H447="","",IF(I447&gt;=H447,"✅ Paid",IF(G447&lt;TODAY(),"🔴 Overdue",IF(G447&lt;=TODAY()+90,"🟡 Due Soon","⬜ Upcoming"))))</f>
        <v/>
      </c>
    </row>
    <row r="448" customFormat="false" ht="15" hidden="false" customHeight="false" outlineLevel="0" collapsed="false">
      <c r="A448" s="24" t="n">
        <v>446</v>
      </c>
      <c r="C448" s="26"/>
      <c r="D448" s="25" t="n">
        <f aca="false">IFERROR(INDEX('DATA ENTRY'!$S:$S,MATCH(C448,'DATA ENTRY'!$B:$B,0)),"")</f>
        <v>0</v>
      </c>
      <c r="E448" s="25" t="n">
        <f aca="false">IFERROR(INDEX('DATA ENTRY'!$C:$C,MATCH(C448,'DATA ENTRY'!$B:$B,0)),"")</f>
        <v>0</v>
      </c>
      <c r="F448" s="25" t="n">
        <f aca="false">IFERROR(INDEX('DATA ENTRY'!$E:$E,MATCH(C448,'DATA ENTRY'!$B:$B,0)),"")</f>
        <v>0</v>
      </c>
      <c r="G448" s="34"/>
      <c r="H448" s="35"/>
      <c r="I448" s="35"/>
      <c r="J448" s="34"/>
      <c r="K448" s="27" t="str">
        <f aca="false">IF(H448="","",MAX(0,H448-IF(I448="",0,I448)))</f>
        <v/>
      </c>
      <c r="L448" s="25" t="str">
        <f aca="true">IF(H448="","",IF(I448&gt;=H448,"✅ Paid",IF(G448&lt;TODAY(),"🔴 Overdue",IF(G448&lt;=TODAY()+90,"🟡 Due Soon","⬜ Upcoming"))))</f>
        <v/>
      </c>
    </row>
    <row r="449" customFormat="false" ht="15" hidden="false" customHeight="false" outlineLevel="0" collapsed="false">
      <c r="A449" s="24" t="n">
        <v>447</v>
      </c>
      <c r="C449" s="26"/>
      <c r="D449" s="25" t="n">
        <f aca="false">IFERROR(INDEX('DATA ENTRY'!$S:$S,MATCH(C449,'DATA ENTRY'!$B:$B,0)),"")</f>
        <v>0</v>
      </c>
      <c r="E449" s="25" t="n">
        <f aca="false">IFERROR(INDEX('DATA ENTRY'!$C:$C,MATCH(C449,'DATA ENTRY'!$B:$B,0)),"")</f>
        <v>0</v>
      </c>
      <c r="F449" s="25" t="n">
        <f aca="false">IFERROR(INDEX('DATA ENTRY'!$E:$E,MATCH(C449,'DATA ENTRY'!$B:$B,0)),"")</f>
        <v>0</v>
      </c>
      <c r="G449" s="34"/>
      <c r="H449" s="35"/>
      <c r="I449" s="35"/>
      <c r="J449" s="34"/>
      <c r="K449" s="27" t="str">
        <f aca="false">IF(H449="","",MAX(0,H449-IF(I449="",0,I449)))</f>
        <v/>
      </c>
      <c r="L449" s="25" t="str">
        <f aca="true">IF(H449="","",IF(I449&gt;=H449,"✅ Paid",IF(G449&lt;TODAY(),"🔴 Overdue",IF(G449&lt;=TODAY()+90,"🟡 Due Soon","⬜ Upcoming"))))</f>
        <v/>
      </c>
    </row>
    <row r="450" customFormat="false" ht="15" hidden="false" customHeight="false" outlineLevel="0" collapsed="false">
      <c r="A450" s="24" t="n">
        <v>448</v>
      </c>
      <c r="C450" s="26"/>
      <c r="D450" s="25" t="n">
        <f aca="false">IFERROR(INDEX('DATA ENTRY'!$S:$S,MATCH(C450,'DATA ENTRY'!$B:$B,0)),"")</f>
        <v>0</v>
      </c>
      <c r="E450" s="25" t="n">
        <f aca="false">IFERROR(INDEX('DATA ENTRY'!$C:$C,MATCH(C450,'DATA ENTRY'!$B:$B,0)),"")</f>
        <v>0</v>
      </c>
      <c r="F450" s="25" t="n">
        <f aca="false">IFERROR(INDEX('DATA ENTRY'!$E:$E,MATCH(C450,'DATA ENTRY'!$B:$B,0)),"")</f>
        <v>0</v>
      </c>
      <c r="G450" s="34"/>
      <c r="H450" s="35"/>
      <c r="I450" s="35"/>
      <c r="J450" s="34"/>
      <c r="K450" s="27" t="str">
        <f aca="false">IF(H450="","",MAX(0,H450-IF(I450="",0,I450)))</f>
        <v/>
      </c>
      <c r="L450" s="25" t="str">
        <f aca="true">IF(H450="","",IF(I450&gt;=H450,"✅ Paid",IF(G450&lt;TODAY(),"🔴 Overdue",IF(G450&lt;=TODAY()+90,"🟡 Due Soon","⬜ Upcoming"))))</f>
        <v/>
      </c>
    </row>
    <row r="451" customFormat="false" ht="15" hidden="false" customHeight="false" outlineLevel="0" collapsed="false">
      <c r="A451" s="24" t="n">
        <v>449</v>
      </c>
      <c r="C451" s="26"/>
      <c r="D451" s="25" t="n">
        <f aca="false">IFERROR(INDEX('DATA ENTRY'!$S:$S,MATCH(C451,'DATA ENTRY'!$B:$B,0)),"")</f>
        <v>0</v>
      </c>
      <c r="E451" s="25" t="n">
        <f aca="false">IFERROR(INDEX('DATA ENTRY'!$C:$C,MATCH(C451,'DATA ENTRY'!$B:$B,0)),"")</f>
        <v>0</v>
      </c>
      <c r="F451" s="25" t="n">
        <f aca="false">IFERROR(INDEX('DATA ENTRY'!$E:$E,MATCH(C451,'DATA ENTRY'!$B:$B,0)),"")</f>
        <v>0</v>
      </c>
      <c r="G451" s="34"/>
      <c r="H451" s="35"/>
      <c r="I451" s="35"/>
      <c r="J451" s="34"/>
      <c r="K451" s="27" t="str">
        <f aca="false">IF(H451="","",MAX(0,H451-IF(I451="",0,I451)))</f>
        <v/>
      </c>
      <c r="L451" s="25" t="str">
        <f aca="true">IF(H451="","",IF(I451&gt;=H451,"✅ Paid",IF(G451&lt;TODAY(),"🔴 Overdue",IF(G451&lt;=TODAY()+90,"🟡 Due Soon","⬜ Upcoming"))))</f>
        <v/>
      </c>
    </row>
    <row r="452" customFormat="false" ht="15" hidden="false" customHeight="false" outlineLevel="0" collapsed="false">
      <c r="A452" s="24" t="n">
        <v>450</v>
      </c>
      <c r="C452" s="26"/>
      <c r="D452" s="25" t="n">
        <f aca="false">IFERROR(INDEX('DATA ENTRY'!$S:$S,MATCH(C452,'DATA ENTRY'!$B:$B,0)),"")</f>
        <v>0</v>
      </c>
      <c r="E452" s="25" t="n">
        <f aca="false">IFERROR(INDEX('DATA ENTRY'!$C:$C,MATCH(C452,'DATA ENTRY'!$B:$B,0)),"")</f>
        <v>0</v>
      </c>
      <c r="F452" s="25" t="n">
        <f aca="false">IFERROR(INDEX('DATA ENTRY'!$E:$E,MATCH(C452,'DATA ENTRY'!$B:$B,0)),"")</f>
        <v>0</v>
      </c>
      <c r="G452" s="34"/>
      <c r="H452" s="35"/>
      <c r="I452" s="35"/>
      <c r="J452" s="34"/>
      <c r="K452" s="27" t="str">
        <f aca="false">IF(H452="","",MAX(0,H452-IF(I452="",0,I452)))</f>
        <v/>
      </c>
      <c r="L452" s="25" t="str">
        <f aca="true">IF(H452="","",IF(I452&gt;=H452,"✅ Paid",IF(G452&lt;TODAY(),"🔴 Overdue",IF(G452&lt;=TODAY()+90,"🟡 Due Soon","⬜ Upcoming"))))</f>
        <v/>
      </c>
    </row>
    <row r="453" customFormat="false" ht="15" hidden="false" customHeight="false" outlineLevel="0" collapsed="false">
      <c r="A453" s="24" t="n">
        <v>451</v>
      </c>
      <c r="C453" s="26"/>
      <c r="D453" s="25" t="n">
        <f aca="false">IFERROR(INDEX('DATA ENTRY'!$S:$S,MATCH(C453,'DATA ENTRY'!$B:$B,0)),"")</f>
        <v>0</v>
      </c>
      <c r="E453" s="25" t="n">
        <f aca="false">IFERROR(INDEX('DATA ENTRY'!$C:$C,MATCH(C453,'DATA ENTRY'!$B:$B,0)),"")</f>
        <v>0</v>
      </c>
      <c r="F453" s="25" t="n">
        <f aca="false">IFERROR(INDEX('DATA ENTRY'!$E:$E,MATCH(C453,'DATA ENTRY'!$B:$B,0)),"")</f>
        <v>0</v>
      </c>
      <c r="G453" s="34"/>
      <c r="H453" s="35"/>
      <c r="I453" s="35"/>
      <c r="J453" s="34"/>
      <c r="K453" s="27" t="str">
        <f aca="false">IF(H453="","",MAX(0,H453-IF(I453="",0,I453)))</f>
        <v/>
      </c>
      <c r="L453" s="25" t="str">
        <f aca="true">IF(H453="","",IF(I453&gt;=H453,"✅ Paid",IF(G453&lt;TODAY(),"🔴 Overdue",IF(G453&lt;=TODAY()+90,"🟡 Due Soon","⬜ Upcoming"))))</f>
        <v/>
      </c>
    </row>
    <row r="454" customFormat="false" ht="15" hidden="false" customHeight="false" outlineLevel="0" collapsed="false">
      <c r="A454" s="24" t="n">
        <v>452</v>
      </c>
      <c r="C454" s="26"/>
      <c r="D454" s="25" t="n">
        <f aca="false">IFERROR(INDEX('DATA ENTRY'!$S:$S,MATCH(C454,'DATA ENTRY'!$B:$B,0)),"")</f>
        <v>0</v>
      </c>
      <c r="E454" s="25" t="n">
        <f aca="false">IFERROR(INDEX('DATA ENTRY'!$C:$C,MATCH(C454,'DATA ENTRY'!$B:$B,0)),"")</f>
        <v>0</v>
      </c>
      <c r="F454" s="25" t="n">
        <f aca="false">IFERROR(INDEX('DATA ENTRY'!$E:$E,MATCH(C454,'DATA ENTRY'!$B:$B,0)),"")</f>
        <v>0</v>
      </c>
      <c r="G454" s="34"/>
      <c r="H454" s="35"/>
      <c r="I454" s="35"/>
      <c r="J454" s="34"/>
      <c r="K454" s="27" t="str">
        <f aca="false">IF(H454="","",MAX(0,H454-IF(I454="",0,I454)))</f>
        <v/>
      </c>
      <c r="L454" s="25" t="str">
        <f aca="true">IF(H454="","",IF(I454&gt;=H454,"✅ Paid",IF(G454&lt;TODAY(),"🔴 Overdue",IF(G454&lt;=TODAY()+90,"🟡 Due Soon","⬜ Upcoming"))))</f>
        <v/>
      </c>
    </row>
    <row r="455" customFormat="false" ht="15" hidden="false" customHeight="false" outlineLevel="0" collapsed="false">
      <c r="A455" s="24" t="n">
        <v>453</v>
      </c>
      <c r="C455" s="26"/>
      <c r="D455" s="25" t="n">
        <f aca="false">IFERROR(INDEX('DATA ENTRY'!$S:$S,MATCH(C455,'DATA ENTRY'!$B:$B,0)),"")</f>
        <v>0</v>
      </c>
      <c r="E455" s="25" t="n">
        <f aca="false">IFERROR(INDEX('DATA ENTRY'!$C:$C,MATCH(C455,'DATA ENTRY'!$B:$B,0)),"")</f>
        <v>0</v>
      </c>
      <c r="F455" s="25" t="n">
        <f aca="false">IFERROR(INDEX('DATA ENTRY'!$E:$E,MATCH(C455,'DATA ENTRY'!$B:$B,0)),"")</f>
        <v>0</v>
      </c>
      <c r="G455" s="34"/>
      <c r="H455" s="35"/>
      <c r="I455" s="35"/>
      <c r="J455" s="34"/>
      <c r="K455" s="27" t="str">
        <f aca="false">IF(H455="","",MAX(0,H455-IF(I455="",0,I455)))</f>
        <v/>
      </c>
      <c r="L455" s="25" t="str">
        <f aca="true">IF(H455="","",IF(I455&gt;=H455,"✅ Paid",IF(G455&lt;TODAY(),"🔴 Overdue",IF(G455&lt;=TODAY()+90,"🟡 Due Soon","⬜ Upcoming"))))</f>
        <v/>
      </c>
    </row>
    <row r="456" customFormat="false" ht="15" hidden="false" customHeight="false" outlineLevel="0" collapsed="false">
      <c r="A456" s="24" t="n">
        <v>454</v>
      </c>
      <c r="C456" s="26"/>
      <c r="D456" s="25" t="n">
        <f aca="false">IFERROR(INDEX('DATA ENTRY'!$S:$S,MATCH(C456,'DATA ENTRY'!$B:$B,0)),"")</f>
        <v>0</v>
      </c>
      <c r="E456" s="25" t="n">
        <f aca="false">IFERROR(INDEX('DATA ENTRY'!$C:$C,MATCH(C456,'DATA ENTRY'!$B:$B,0)),"")</f>
        <v>0</v>
      </c>
      <c r="F456" s="25" t="n">
        <f aca="false">IFERROR(INDEX('DATA ENTRY'!$E:$E,MATCH(C456,'DATA ENTRY'!$B:$B,0)),"")</f>
        <v>0</v>
      </c>
      <c r="G456" s="34"/>
      <c r="H456" s="35"/>
      <c r="I456" s="35"/>
      <c r="J456" s="34"/>
      <c r="K456" s="27" t="str">
        <f aca="false">IF(H456="","",MAX(0,H456-IF(I456="",0,I456)))</f>
        <v/>
      </c>
      <c r="L456" s="25" t="str">
        <f aca="true">IF(H456="","",IF(I456&gt;=H456,"✅ Paid",IF(G456&lt;TODAY(),"🔴 Overdue",IF(G456&lt;=TODAY()+90,"🟡 Due Soon","⬜ Upcoming"))))</f>
        <v/>
      </c>
    </row>
    <row r="457" customFormat="false" ht="15" hidden="false" customHeight="false" outlineLevel="0" collapsed="false">
      <c r="A457" s="24" t="n">
        <v>455</v>
      </c>
      <c r="C457" s="26"/>
      <c r="D457" s="25" t="n">
        <f aca="false">IFERROR(INDEX('DATA ENTRY'!$S:$S,MATCH(C457,'DATA ENTRY'!$B:$B,0)),"")</f>
        <v>0</v>
      </c>
      <c r="E457" s="25" t="n">
        <f aca="false">IFERROR(INDEX('DATA ENTRY'!$C:$C,MATCH(C457,'DATA ENTRY'!$B:$B,0)),"")</f>
        <v>0</v>
      </c>
      <c r="F457" s="25" t="n">
        <f aca="false">IFERROR(INDEX('DATA ENTRY'!$E:$E,MATCH(C457,'DATA ENTRY'!$B:$B,0)),"")</f>
        <v>0</v>
      </c>
      <c r="G457" s="34"/>
      <c r="H457" s="35"/>
      <c r="I457" s="35"/>
      <c r="J457" s="34"/>
      <c r="K457" s="27" t="str">
        <f aca="false">IF(H457="","",MAX(0,H457-IF(I457="",0,I457)))</f>
        <v/>
      </c>
      <c r="L457" s="25" t="str">
        <f aca="true">IF(H457="","",IF(I457&gt;=H457,"✅ Paid",IF(G457&lt;TODAY(),"🔴 Overdue",IF(G457&lt;=TODAY()+90,"🟡 Due Soon","⬜ Upcoming"))))</f>
        <v/>
      </c>
    </row>
    <row r="458" customFormat="false" ht="15" hidden="false" customHeight="false" outlineLevel="0" collapsed="false">
      <c r="A458" s="24" t="n">
        <v>456</v>
      </c>
      <c r="C458" s="26"/>
      <c r="D458" s="25" t="n">
        <f aca="false">IFERROR(INDEX('DATA ENTRY'!$S:$S,MATCH(C458,'DATA ENTRY'!$B:$B,0)),"")</f>
        <v>0</v>
      </c>
      <c r="E458" s="25" t="n">
        <f aca="false">IFERROR(INDEX('DATA ENTRY'!$C:$C,MATCH(C458,'DATA ENTRY'!$B:$B,0)),"")</f>
        <v>0</v>
      </c>
      <c r="F458" s="25" t="n">
        <f aca="false">IFERROR(INDEX('DATA ENTRY'!$E:$E,MATCH(C458,'DATA ENTRY'!$B:$B,0)),"")</f>
        <v>0</v>
      </c>
      <c r="G458" s="34"/>
      <c r="H458" s="35"/>
      <c r="I458" s="35"/>
      <c r="J458" s="34"/>
      <c r="K458" s="27" t="str">
        <f aca="false">IF(H458="","",MAX(0,H458-IF(I458="",0,I458)))</f>
        <v/>
      </c>
      <c r="L458" s="25" t="str">
        <f aca="true">IF(H458="","",IF(I458&gt;=H458,"✅ Paid",IF(G458&lt;TODAY(),"🔴 Overdue",IF(G458&lt;=TODAY()+90,"🟡 Due Soon","⬜ Upcoming"))))</f>
        <v/>
      </c>
    </row>
    <row r="459" customFormat="false" ht="15" hidden="false" customHeight="false" outlineLevel="0" collapsed="false">
      <c r="A459" s="24" t="n">
        <v>457</v>
      </c>
      <c r="C459" s="26"/>
      <c r="D459" s="25" t="n">
        <f aca="false">IFERROR(INDEX('DATA ENTRY'!$S:$S,MATCH(C459,'DATA ENTRY'!$B:$B,0)),"")</f>
        <v>0</v>
      </c>
      <c r="E459" s="25" t="n">
        <f aca="false">IFERROR(INDEX('DATA ENTRY'!$C:$C,MATCH(C459,'DATA ENTRY'!$B:$B,0)),"")</f>
        <v>0</v>
      </c>
      <c r="F459" s="25" t="n">
        <f aca="false">IFERROR(INDEX('DATA ENTRY'!$E:$E,MATCH(C459,'DATA ENTRY'!$B:$B,0)),"")</f>
        <v>0</v>
      </c>
      <c r="G459" s="34"/>
      <c r="H459" s="35"/>
      <c r="I459" s="35"/>
      <c r="J459" s="34"/>
      <c r="K459" s="27" t="str">
        <f aca="false">IF(H459="","",MAX(0,H459-IF(I459="",0,I459)))</f>
        <v/>
      </c>
      <c r="L459" s="25" t="str">
        <f aca="true">IF(H459="","",IF(I459&gt;=H459,"✅ Paid",IF(G459&lt;TODAY(),"🔴 Overdue",IF(G459&lt;=TODAY()+90,"🟡 Due Soon","⬜ Upcoming"))))</f>
        <v/>
      </c>
    </row>
    <row r="460" customFormat="false" ht="15" hidden="false" customHeight="false" outlineLevel="0" collapsed="false">
      <c r="A460" s="24" t="n">
        <v>458</v>
      </c>
      <c r="C460" s="26"/>
      <c r="D460" s="25" t="n">
        <f aca="false">IFERROR(INDEX('DATA ENTRY'!$S:$S,MATCH(C460,'DATA ENTRY'!$B:$B,0)),"")</f>
        <v>0</v>
      </c>
      <c r="E460" s="25" t="n">
        <f aca="false">IFERROR(INDEX('DATA ENTRY'!$C:$C,MATCH(C460,'DATA ENTRY'!$B:$B,0)),"")</f>
        <v>0</v>
      </c>
      <c r="F460" s="25" t="n">
        <f aca="false">IFERROR(INDEX('DATA ENTRY'!$E:$E,MATCH(C460,'DATA ENTRY'!$B:$B,0)),"")</f>
        <v>0</v>
      </c>
      <c r="G460" s="34"/>
      <c r="H460" s="35"/>
      <c r="I460" s="35"/>
      <c r="J460" s="34"/>
      <c r="K460" s="27" t="str">
        <f aca="false">IF(H460="","",MAX(0,H460-IF(I460="",0,I460)))</f>
        <v/>
      </c>
      <c r="L460" s="25" t="str">
        <f aca="true">IF(H460="","",IF(I460&gt;=H460,"✅ Paid",IF(G460&lt;TODAY(),"🔴 Overdue",IF(G460&lt;=TODAY()+90,"🟡 Due Soon","⬜ Upcoming"))))</f>
        <v/>
      </c>
    </row>
    <row r="461" customFormat="false" ht="15" hidden="false" customHeight="false" outlineLevel="0" collapsed="false">
      <c r="A461" s="24" t="n">
        <v>459</v>
      </c>
      <c r="C461" s="26"/>
      <c r="D461" s="25" t="n">
        <f aca="false">IFERROR(INDEX('DATA ENTRY'!$S:$S,MATCH(C461,'DATA ENTRY'!$B:$B,0)),"")</f>
        <v>0</v>
      </c>
      <c r="E461" s="25" t="n">
        <f aca="false">IFERROR(INDEX('DATA ENTRY'!$C:$C,MATCH(C461,'DATA ENTRY'!$B:$B,0)),"")</f>
        <v>0</v>
      </c>
      <c r="F461" s="25" t="n">
        <f aca="false">IFERROR(INDEX('DATA ENTRY'!$E:$E,MATCH(C461,'DATA ENTRY'!$B:$B,0)),"")</f>
        <v>0</v>
      </c>
      <c r="G461" s="34"/>
      <c r="H461" s="35"/>
      <c r="I461" s="35"/>
      <c r="J461" s="34"/>
      <c r="K461" s="27" t="str">
        <f aca="false">IF(H461="","",MAX(0,H461-IF(I461="",0,I461)))</f>
        <v/>
      </c>
      <c r="L461" s="25" t="str">
        <f aca="true">IF(H461="","",IF(I461&gt;=H461,"✅ Paid",IF(G461&lt;TODAY(),"🔴 Overdue",IF(G461&lt;=TODAY()+90,"🟡 Due Soon","⬜ Upcoming"))))</f>
        <v/>
      </c>
    </row>
    <row r="462" customFormat="false" ht="15" hidden="false" customHeight="false" outlineLevel="0" collapsed="false">
      <c r="A462" s="24" t="n">
        <v>460</v>
      </c>
      <c r="C462" s="26"/>
      <c r="D462" s="25" t="n">
        <f aca="false">IFERROR(INDEX('DATA ENTRY'!$S:$S,MATCH(C462,'DATA ENTRY'!$B:$B,0)),"")</f>
        <v>0</v>
      </c>
      <c r="E462" s="25" t="n">
        <f aca="false">IFERROR(INDEX('DATA ENTRY'!$C:$C,MATCH(C462,'DATA ENTRY'!$B:$B,0)),"")</f>
        <v>0</v>
      </c>
      <c r="F462" s="25" t="n">
        <f aca="false">IFERROR(INDEX('DATA ENTRY'!$E:$E,MATCH(C462,'DATA ENTRY'!$B:$B,0)),"")</f>
        <v>0</v>
      </c>
      <c r="G462" s="34"/>
      <c r="H462" s="35"/>
      <c r="I462" s="35"/>
      <c r="J462" s="34"/>
      <c r="K462" s="27" t="str">
        <f aca="false">IF(H462="","",MAX(0,H462-IF(I462="",0,I462)))</f>
        <v/>
      </c>
      <c r="L462" s="25" t="str">
        <f aca="true">IF(H462="","",IF(I462&gt;=H462,"✅ Paid",IF(G462&lt;TODAY(),"🔴 Overdue",IF(G462&lt;=TODAY()+90,"🟡 Due Soon","⬜ Upcoming"))))</f>
        <v/>
      </c>
    </row>
    <row r="463" customFormat="false" ht="15" hidden="false" customHeight="false" outlineLevel="0" collapsed="false">
      <c r="A463" s="24" t="n">
        <v>461</v>
      </c>
      <c r="C463" s="26"/>
      <c r="D463" s="25" t="n">
        <f aca="false">IFERROR(INDEX('DATA ENTRY'!$S:$S,MATCH(C463,'DATA ENTRY'!$B:$B,0)),"")</f>
        <v>0</v>
      </c>
      <c r="E463" s="25" t="n">
        <f aca="false">IFERROR(INDEX('DATA ENTRY'!$C:$C,MATCH(C463,'DATA ENTRY'!$B:$B,0)),"")</f>
        <v>0</v>
      </c>
      <c r="F463" s="25" t="n">
        <f aca="false">IFERROR(INDEX('DATA ENTRY'!$E:$E,MATCH(C463,'DATA ENTRY'!$B:$B,0)),"")</f>
        <v>0</v>
      </c>
      <c r="G463" s="34"/>
      <c r="H463" s="35"/>
      <c r="I463" s="35"/>
      <c r="J463" s="34"/>
      <c r="K463" s="27" t="str">
        <f aca="false">IF(H463="","",MAX(0,H463-IF(I463="",0,I463)))</f>
        <v/>
      </c>
      <c r="L463" s="25" t="str">
        <f aca="true">IF(H463="","",IF(I463&gt;=H463,"✅ Paid",IF(G463&lt;TODAY(),"🔴 Overdue",IF(G463&lt;=TODAY()+90,"🟡 Due Soon","⬜ Upcoming"))))</f>
        <v/>
      </c>
    </row>
    <row r="464" customFormat="false" ht="15" hidden="false" customHeight="false" outlineLevel="0" collapsed="false">
      <c r="A464" s="24" t="n">
        <v>462</v>
      </c>
      <c r="C464" s="26"/>
      <c r="D464" s="25" t="n">
        <f aca="false">IFERROR(INDEX('DATA ENTRY'!$S:$S,MATCH(C464,'DATA ENTRY'!$B:$B,0)),"")</f>
        <v>0</v>
      </c>
      <c r="E464" s="25" t="n">
        <f aca="false">IFERROR(INDEX('DATA ENTRY'!$C:$C,MATCH(C464,'DATA ENTRY'!$B:$B,0)),"")</f>
        <v>0</v>
      </c>
      <c r="F464" s="25" t="n">
        <f aca="false">IFERROR(INDEX('DATA ENTRY'!$E:$E,MATCH(C464,'DATA ENTRY'!$B:$B,0)),"")</f>
        <v>0</v>
      </c>
      <c r="G464" s="34"/>
      <c r="H464" s="35"/>
      <c r="I464" s="35"/>
      <c r="J464" s="34"/>
      <c r="K464" s="27" t="str">
        <f aca="false">IF(H464="","",MAX(0,H464-IF(I464="",0,I464)))</f>
        <v/>
      </c>
      <c r="L464" s="25" t="str">
        <f aca="true">IF(H464="","",IF(I464&gt;=H464,"✅ Paid",IF(G464&lt;TODAY(),"🔴 Overdue",IF(G464&lt;=TODAY()+90,"🟡 Due Soon","⬜ Upcoming"))))</f>
        <v/>
      </c>
    </row>
    <row r="465" customFormat="false" ht="15" hidden="false" customHeight="false" outlineLevel="0" collapsed="false">
      <c r="A465" s="24" t="n">
        <v>463</v>
      </c>
      <c r="C465" s="26"/>
      <c r="D465" s="25" t="n">
        <f aca="false">IFERROR(INDEX('DATA ENTRY'!$S:$S,MATCH(C465,'DATA ENTRY'!$B:$B,0)),"")</f>
        <v>0</v>
      </c>
      <c r="E465" s="25" t="n">
        <f aca="false">IFERROR(INDEX('DATA ENTRY'!$C:$C,MATCH(C465,'DATA ENTRY'!$B:$B,0)),"")</f>
        <v>0</v>
      </c>
      <c r="F465" s="25" t="n">
        <f aca="false">IFERROR(INDEX('DATA ENTRY'!$E:$E,MATCH(C465,'DATA ENTRY'!$B:$B,0)),"")</f>
        <v>0</v>
      </c>
      <c r="G465" s="34"/>
      <c r="H465" s="35"/>
      <c r="I465" s="35"/>
      <c r="J465" s="34"/>
      <c r="K465" s="27" t="str">
        <f aca="false">IF(H465="","",MAX(0,H465-IF(I465="",0,I465)))</f>
        <v/>
      </c>
      <c r="L465" s="25" t="str">
        <f aca="true">IF(H465="","",IF(I465&gt;=H465,"✅ Paid",IF(G465&lt;TODAY(),"🔴 Overdue",IF(G465&lt;=TODAY()+90,"🟡 Due Soon","⬜ Upcoming"))))</f>
        <v/>
      </c>
    </row>
    <row r="466" customFormat="false" ht="15" hidden="false" customHeight="false" outlineLevel="0" collapsed="false">
      <c r="A466" s="24" t="n">
        <v>464</v>
      </c>
      <c r="C466" s="26"/>
      <c r="D466" s="25" t="n">
        <f aca="false">IFERROR(INDEX('DATA ENTRY'!$S:$S,MATCH(C466,'DATA ENTRY'!$B:$B,0)),"")</f>
        <v>0</v>
      </c>
      <c r="E466" s="25" t="n">
        <f aca="false">IFERROR(INDEX('DATA ENTRY'!$C:$C,MATCH(C466,'DATA ENTRY'!$B:$B,0)),"")</f>
        <v>0</v>
      </c>
      <c r="F466" s="25" t="n">
        <f aca="false">IFERROR(INDEX('DATA ENTRY'!$E:$E,MATCH(C466,'DATA ENTRY'!$B:$B,0)),"")</f>
        <v>0</v>
      </c>
      <c r="G466" s="34"/>
      <c r="H466" s="35"/>
      <c r="I466" s="35"/>
      <c r="J466" s="34"/>
      <c r="K466" s="27" t="str">
        <f aca="false">IF(H466="","",MAX(0,H466-IF(I466="",0,I466)))</f>
        <v/>
      </c>
      <c r="L466" s="25" t="str">
        <f aca="true">IF(H466="","",IF(I466&gt;=H466,"✅ Paid",IF(G466&lt;TODAY(),"🔴 Overdue",IF(G466&lt;=TODAY()+90,"🟡 Due Soon","⬜ Upcoming"))))</f>
        <v/>
      </c>
    </row>
    <row r="467" customFormat="false" ht="15" hidden="false" customHeight="false" outlineLevel="0" collapsed="false">
      <c r="A467" s="24" t="n">
        <v>465</v>
      </c>
      <c r="C467" s="26"/>
      <c r="D467" s="25" t="n">
        <f aca="false">IFERROR(INDEX('DATA ENTRY'!$S:$S,MATCH(C467,'DATA ENTRY'!$B:$B,0)),"")</f>
        <v>0</v>
      </c>
      <c r="E467" s="25" t="n">
        <f aca="false">IFERROR(INDEX('DATA ENTRY'!$C:$C,MATCH(C467,'DATA ENTRY'!$B:$B,0)),"")</f>
        <v>0</v>
      </c>
      <c r="F467" s="25" t="n">
        <f aca="false">IFERROR(INDEX('DATA ENTRY'!$E:$E,MATCH(C467,'DATA ENTRY'!$B:$B,0)),"")</f>
        <v>0</v>
      </c>
      <c r="G467" s="34"/>
      <c r="H467" s="35"/>
      <c r="I467" s="35"/>
      <c r="J467" s="34"/>
      <c r="K467" s="27" t="str">
        <f aca="false">IF(H467="","",MAX(0,H467-IF(I467="",0,I467)))</f>
        <v/>
      </c>
      <c r="L467" s="25" t="str">
        <f aca="true">IF(H467="","",IF(I467&gt;=H467,"✅ Paid",IF(G467&lt;TODAY(),"🔴 Overdue",IF(G467&lt;=TODAY()+90,"🟡 Due Soon","⬜ Upcoming"))))</f>
        <v/>
      </c>
    </row>
    <row r="468" customFormat="false" ht="15" hidden="false" customHeight="false" outlineLevel="0" collapsed="false">
      <c r="A468" s="24" t="n">
        <v>466</v>
      </c>
      <c r="C468" s="26"/>
      <c r="D468" s="25" t="n">
        <f aca="false">IFERROR(INDEX('DATA ENTRY'!$S:$S,MATCH(C468,'DATA ENTRY'!$B:$B,0)),"")</f>
        <v>0</v>
      </c>
      <c r="E468" s="25" t="n">
        <f aca="false">IFERROR(INDEX('DATA ENTRY'!$C:$C,MATCH(C468,'DATA ENTRY'!$B:$B,0)),"")</f>
        <v>0</v>
      </c>
      <c r="F468" s="25" t="n">
        <f aca="false">IFERROR(INDEX('DATA ENTRY'!$E:$E,MATCH(C468,'DATA ENTRY'!$B:$B,0)),"")</f>
        <v>0</v>
      </c>
      <c r="G468" s="34"/>
      <c r="H468" s="35"/>
      <c r="I468" s="35"/>
      <c r="J468" s="34"/>
      <c r="K468" s="27" t="str">
        <f aca="false">IF(H468="","",MAX(0,H468-IF(I468="",0,I468)))</f>
        <v/>
      </c>
      <c r="L468" s="25" t="str">
        <f aca="true">IF(H468="","",IF(I468&gt;=H468,"✅ Paid",IF(G468&lt;TODAY(),"🔴 Overdue",IF(G468&lt;=TODAY()+90,"🟡 Due Soon","⬜ Upcoming"))))</f>
        <v/>
      </c>
    </row>
    <row r="469" customFormat="false" ht="15" hidden="false" customHeight="false" outlineLevel="0" collapsed="false">
      <c r="A469" s="24" t="n">
        <v>467</v>
      </c>
      <c r="C469" s="26"/>
      <c r="D469" s="25" t="n">
        <f aca="false">IFERROR(INDEX('DATA ENTRY'!$S:$S,MATCH(C469,'DATA ENTRY'!$B:$B,0)),"")</f>
        <v>0</v>
      </c>
      <c r="E469" s="25" t="n">
        <f aca="false">IFERROR(INDEX('DATA ENTRY'!$C:$C,MATCH(C469,'DATA ENTRY'!$B:$B,0)),"")</f>
        <v>0</v>
      </c>
      <c r="F469" s="25" t="n">
        <f aca="false">IFERROR(INDEX('DATA ENTRY'!$E:$E,MATCH(C469,'DATA ENTRY'!$B:$B,0)),"")</f>
        <v>0</v>
      </c>
      <c r="G469" s="34"/>
      <c r="H469" s="35"/>
      <c r="I469" s="35"/>
      <c r="J469" s="34"/>
      <c r="K469" s="27" t="str">
        <f aca="false">IF(H469="","",MAX(0,H469-IF(I469="",0,I469)))</f>
        <v/>
      </c>
      <c r="L469" s="25" t="str">
        <f aca="true">IF(H469="","",IF(I469&gt;=H469,"✅ Paid",IF(G469&lt;TODAY(),"🔴 Overdue",IF(G469&lt;=TODAY()+90,"🟡 Due Soon","⬜ Upcoming"))))</f>
        <v/>
      </c>
    </row>
    <row r="470" customFormat="false" ht="15" hidden="false" customHeight="false" outlineLevel="0" collapsed="false">
      <c r="A470" s="24" t="n">
        <v>468</v>
      </c>
      <c r="C470" s="26"/>
      <c r="D470" s="25" t="n">
        <f aca="false">IFERROR(INDEX('DATA ENTRY'!$S:$S,MATCH(C470,'DATA ENTRY'!$B:$B,0)),"")</f>
        <v>0</v>
      </c>
      <c r="E470" s="25" t="n">
        <f aca="false">IFERROR(INDEX('DATA ENTRY'!$C:$C,MATCH(C470,'DATA ENTRY'!$B:$B,0)),"")</f>
        <v>0</v>
      </c>
      <c r="F470" s="25" t="n">
        <f aca="false">IFERROR(INDEX('DATA ENTRY'!$E:$E,MATCH(C470,'DATA ENTRY'!$B:$B,0)),"")</f>
        <v>0</v>
      </c>
      <c r="G470" s="34"/>
      <c r="H470" s="35"/>
      <c r="I470" s="35"/>
      <c r="J470" s="34"/>
      <c r="K470" s="27" t="str">
        <f aca="false">IF(H470="","",MAX(0,H470-IF(I470="",0,I470)))</f>
        <v/>
      </c>
      <c r="L470" s="25" t="str">
        <f aca="true">IF(H470="","",IF(I470&gt;=H470,"✅ Paid",IF(G470&lt;TODAY(),"🔴 Overdue",IF(G470&lt;=TODAY()+90,"🟡 Due Soon","⬜ Upcoming"))))</f>
        <v/>
      </c>
    </row>
    <row r="471" customFormat="false" ht="15" hidden="false" customHeight="false" outlineLevel="0" collapsed="false">
      <c r="A471" s="24" t="n">
        <v>469</v>
      </c>
      <c r="C471" s="26"/>
      <c r="D471" s="25" t="n">
        <f aca="false">IFERROR(INDEX('DATA ENTRY'!$S:$S,MATCH(C471,'DATA ENTRY'!$B:$B,0)),"")</f>
        <v>0</v>
      </c>
      <c r="E471" s="25" t="n">
        <f aca="false">IFERROR(INDEX('DATA ENTRY'!$C:$C,MATCH(C471,'DATA ENTRY'!$B:$B,0)),"")</f>
        <v>0</v>
      </c>
      <c r="F471" s="25" t="n">
        <f aca="false">IFERROR(INDEX('DATA ENTRY'!$E:$E,MATCH(C471,'DATA ENTRY'!$B:$B,0)),"")</f>
        <v>0</v>
      </c>
      <c r="G471" s="34"/>
      <c r="H471" s="35"/>
      <c r="I471" s="35"/>
      <c r="J471" s="34"/>
      <c r="K471" s="27" t="str">
        <f aca="false">IF(H471="","",MAX(0,H471-IF(I471="",0,I471)))</f>
        <v/>
      </c>
      <c r="L471" s="25" t="str">
        <f aca="true">IF(H471="","",IF(I471&gt;=H471,"✅ Paid",IF(G471&lt;TODAY(),"🔴 Overdue",IF(G471&lt;=TODAY()+90,"🟡 Due Soon","⬜ Upcoming"))))</f>
        <v/>
      </c>
    </row>
    <row r="472" customFormat="false" ht="15" hidden="false" customHeight="false" outlineLevel="0" collapsed="false">
      <c r="A472" s="24" t="n">
        <v>470</v>
      </c>
      <c r="C472" s="26"/>
      <c r="D472" s="25" t="n">
        <f aca="false">IFERROR(INDEX('DATA ENTRY'!$S:$S,MATCH(C472,'DATA ENTRY'!$B:$B,0)),"")</f>
        <v>0</v>
      </c>
      <c r="E472" s="25" t="n">
        <f aca="false">IFERROR(INDEX('DATA ENTRY'!$C:$C,MATCH(C472,'DATA ENTRY'!$B:$B,0)),"")</f>
        <v>0</v>
      </c>
      <c r="F472" s="25" t="n">
        <f aca="false">IFERROR(INDEX('DATA ENTRY'!$E:$E,MATCH(C472,'DATA ENTRY'!$B:$B,0)),"")</f>
        <v>0</v>
      </c>
      <c r="G472" s="34"/>
      <c r="H472" s="35"/>
      <c r="I472" s="35"/>
      <c r="J472" s="34"/>
      <c r="K472" s="27" t="str">
        <f aca="false">IF(H472="","",MAX(0,H472-IF(I472="",0,I472)))</f>
        <v/>
      </c>
      <c r="L472" s="25" t="str">
        <f aca="true">IF(H472="","",IF(I472&gt;=H472,"✅ Paid",IF(G472&lt;TODAY(),"🔴 Overdue",IF(G472&lt;=TODAY()+90,"🟡 Due Soon","⬜ Upcoming"))))</f>
        <v/>
      </c>
    </row>
    <row r="473" customFormat="false" ht="15" hidden="false" customHeight="false" outlineLevel="0" collapsed="false">
      <c r="A473" s="24" t="n">
        <v>471</v>
      </c>
      <c r="C473" s="26"/>
      <c r="D473" s="25" t="n">
        <f aca="false">IFERROR(INDEX('DATA ENTRY'!$S:$S,MATCH(C473,'DATA ENTRY'!$B:$B,0)),"")</f>
        <v>0</v>
      </c>
      <c r="E473" s="25" t="n">
        <f aca="false">IFERROR(INDEX('DATA ENTRY'!$C:$C,MATCH(C473,'DATA ENTRY'!$B:$B,0)),"")</f>
        <v>0</v>
      </c>
      <c r="F473" s="25" t="n">
        <f aca="false">IFERROR(INDEX('DATA ENTRY'!$E:$E,MATCH(C473,'DATA ENTRY'!$B:$B,0)),"")</f>
        <v>0</v>
      </c>
      <c r="G473" s="34"/>
      <c r="H473" s="35"/>
      <c r="I473" s="35"/>
      <c r="J473" s="34"/>
      <c r="K473" s="27" t="str">
        <f aca="false">IF(H473="","",MAX(0,H473-IF(I473="",0,I473)))</f>
        <v/>
      </c>
      <c r="L473" s="25" t="str">
        <f aca="true">IF(H473="","",IF(I473&gt;=H473,"✅ Paid",IF(G473&lt;TODAY(),"🔴 Overdue",IF(G473&lt;=TODAY()+90,"🟡 Due Soon","⬜ Upcoming"))))</f>
        <v/>
      </c>
    </row>
    <row r="474" customFormat="false" ht="15" hidden="false" customHeight="false" outlineLevel="0" collapsed="false">
      <c r="A474" s="24" t="n">
        <v>472</v>
      </c>
      <c r="C474" s="26"/>
      <c r="D474" s="25" t="n">
        <f aca="false">IFERROR(INDEX('DATA ENTRY'!$S:$S,MATCH(C474,'DATA ENTRY'!$B:$B,0)),"")</f>
        <v>0</v>
      </c>
      <c r="E474" s="25" t="n">
        <f aca="false">IFERROR(INDEX('DATA ENTRY'!$C:$C,MATCH(C474,'DATA ENTRY'!$B:$B,0)),"")</f>
        <v>0</v>
      </c>
      <c r="F474" s="25" t="n">
        <f aca="false">IFERROR(INDEX('DATA ENTRY'!$E:$E,MATCH(C474,'DATA ENTRY'!$B:$B,0)),"")</f>
        <v>0</v>
      </c>
      <c r="G474" s="34"/>
      <c r="H474" s="35"/>
      <c r="I474" s="35"/>
      <c r="J474" s="34"/>
      <c r="K474" s="27" t="str">
        <f aca="false">IF(H474="","",MAX(0,H474-IF(I474="",0,I474)))</f>
        <v/>
      </c>
      <c r="L474" s="25" t="str">
        <f aca="true">IF(H474="","",IF(I474&gt;=H474,"✅ Paid",IF(G474&lt;TODAY(),"🔴 Overdue",IF(G474&lt;=TODAY()+90,"🟡 Due Soon","⬜ Upcoming"))))</f>
        <v/>
      </c>
    </row>
    <row r="475" customFormat="false" ht="15" hidden="false" customHeight="false" outlineLevel="0" collapsed="false">
      <c r="A475" s="24" t="n">
        <v>473</v>
      </c>
      <c r="C475" s="26"/>
      <c r="D475" s="25" t="n">
        <f aca="false">IFERROR(INDEX('DATA ENTRY'!$S:$S,MATCH(C475,'DATA ENTRY'!$B:$B,0)),"")</f>
        <v>0</v>
      </c>
      <c r="E475" s="25" t="n">
        <f aca="false">IFERROR(INDEX('DATA ENTRY'!$C:$C,MATCH(C475,'DATA ENTRY'!$B:$B,0)),"")</f>
        <v>0</v>
      </c>
      <c r="F475" s="25" t="n">
        <f aca="false">IFERROR(INDEX('DATA ENTRY'!$E:$E,MATCH(C475,'DATA ENTRY'!$B:$B,0)),"")</f>
        <v>0</v>
      </c>
      <c r="G475" s="34"/>
      <c r="H475" s="35"/>
      <c r="I475" s="35"/>
      <c r="J475" s="34"/>
      <c r="K475" s="27" t="str">
        <f aca="false">IF(H475="","",MAX(0,H475-IF(I475="",0,I475)))</f>
        <v/>
      </c>
      <c r="L475" s="25" t="str">
        <f aca="true">IF(H475="","",IF(I475&gt;=H475,"✅ Paid",IF(G475&lt;TODAY(),"🔴 Overdue",IF(G475&lt;=TODAY()+90,"🟡 Due Soon","⬜ Upcoming"))))</f>
        <v/>
      </c>
    </row>
    <row r="476" customFormat="false" ht="15" hidden="false" customHeight="false" outlineLevel="0" collapsed="false">
      <c r="A476" s="24" t="n">
        <v>474</v>
      </c>
      <c r="C476" s="26"/>
      <c r="D476" s="25" t="n">
        <f aca="false">IFERROR(INDEX('DATA ENTRY'!$S:$S,MATCH(C476,'DATA ENTRY'!$B:$B,0)),"")</f>
        <v>0</v>
      </c>
      <c r="E476" s="25" t="n">
        <f aca="false">IFERROR(INDEX('DATA ENTRY'!$C:$C,MATCH(C476,'DATA ENTRY'!$B:$B,0)),"")</f>
        <v>0</v>
      </c>
      <c r="F476" s="25" t="n">
        <f aca="false">IFERROR(INDEX('DATA ENTRY'!$E:$E,MATCH(C476,'DATA ENTRY'!$B:$B,0)),"")</f>
        <v>0</v>
      </c>
      <c r="G476" s="34"/>
      <c r="H476" s="35"/>
      <c r="I476" s="35"/>
      <c r="J476" s="34"/>
      <c r="K476" s="27" t="str">
        <f aca="false">IF(H476="","",MAX(0,H476-IF(I476="",0,I476)))</f>
        <v/>
      </c>
      <c r="L476" s="25" t="str">
        <f aca="true">IF(H476="","",IF(I476&gt;=H476,"✅ Paid",IF(G476&lt;TODAY(),"🔴 Overdue",IF(G476&lt;=TODAY()+90,"🟡 Due Soon","⬜ Upcoming"))))</f>
        <v/>
      </c>
    </row>
    <row r="477" customFormat="false" ht="15" hidden="false" customHeight="false" outlineLevel="0" collapsed="false">
      <c r="A477" s="24" t="n">
        <v>475</v>
      </c>
      <c r="C477" s="26"/>
      <c r="D477" s="25" t="n">
        <f aca="false">IFERROR(INDEX('DATA ENTRY'!$S:$S,MATCH(C477,'DATA ENTRY'!$B:$B,0)),"")</f>
        <v>0</v>
      </c>
      <c r="E477" s="25" t="n">
        <f aca="false">IFERROR(INDEX('DATA ENTRY'!$C:$C,MATCH(C477,'DATA ENTRY'!$B:$B,0)),"")</f>
        <v>0</v>
      </c>
      <c r="F477" s="25" t="n">
        <f aca="false">IFERROR(INDEX('DATA ENTRY'!$E:$E,MATCH(C477,'DATA ENTRY'!$B:$B,0)),"")</f>
        <v>0</v>
      </c>
      <c r="G477" s="34"/>
      <c r="H477" s="35"/>
      <c r="I477" s="35"/>
      <c r="J477" s="34"/>
      <c r="K477" s="27" t="str">
        <f aca="false">IF(H477="","",MAX(0,H477-IF(I477="",0,I477)))</f>
        <v/>
      </c>
      <c r="L477" s="25" t="str">
        <f aca="true">IF(H477="","",IF(I477&gt;=H477,"✅ Paid",IF(G477&lt;TODAY(),"🔴 Overdue",IF(G477&lt;=TODAY()+90,"🟡 Due Soon","⬜ Upcoming"))))</f>
        <v/>
      </c>
    </row>
    <row r="478" customFormat="false" ht="15" hidden="false" customHeight="false" outlineLevel="0" collapsed="false">
      <c r="A478" s="24" t="n">
        <v>476</v>
      </c>
      <c r="C478" s="26"/>
      <c r="D478" s="25" t="n">
        <f aca="false">IFERROR(INDEX('DATA ENTRY'!$S:$S,MATCH(C478,'DATA ENTRY'!$B:$B,0)),"")</f>
        <v>0</v>
      </c>
      <c r="E478" s="25" t="n">
        <f aca="false">IFERROR(INDEX('DATA ENTRY'!$C:$C,MATCH(C478,'DATA ENTRY'!$B:$B,0)),"")</f>
        <v>0</v>
      </c>
      <c r="F478" s="25" t="n">
        <f aca="false">IFERROR(INDEX('DATA ENTRY'!$E:$E,MATCH(C478,'DATA ENTRY'!$B:$B,0)),"")</f>
        <v>0</v>
      </c>
      <c r="G478" s="34"/>
      <c r="H478" s="35"/>
      <c r="I478" s="35"/>
      <c r="J478" s="34"/>
      <c r="K478" s="27" t="str">
        <f aca="false">IF(H478="","",MAX(0,H478-IF(I478="",0,I478)))</f>
        <v/>
      </c>
      <c r="L478" s="25" t="str">
        <f aca="true">IF(H478="","",IF(I478&gt;=H478,"✅ Paid",IF(G478&lt;TODAY(),"🔴 Overdue",IF(G478&lt;=TODAY()+90,"🟡 Due Soon","⬜ Upcoming"))))</f>
        <v/>
      </c>
    </row>
    <row r="479" customFormat="false" ht="15" hidden="false" customHeight="false" outlineLevel="0" collapsed="false">
      <c r="A479" s="24" t="n">
        <v>477</v>
      </c>
      <c r="C479" s="26"/>
      <c r="D479" s="25" t="n">
        <f aca="false">IFERROR(INDEX('DATA ENTRY'!$S:$S,MATCH(C479,'DATA ENTRY'!$B:$B,0)),"")</f>
        <v>0</v>
      </c>
      <c r="E479" s="25" t="n">
        <f aca="false">IFERROR(INDEX('DATA ENTRY'!$C:$C,MATCH(C479,'DATA ENTRY'!$B:$B,0)),"")</f>
        <v>0</v>
      </c>
      <c r="F479" s="25" t="n">
        <f aca="false">IFERROR(INDEX('DATA ENTRY'!$E:$E,MATCH(C479,'DATA ENTRY'!$B:$B,0)),"")</f>
        <v>0</v>
      </c>
      <c r="G479" s="34"/>
      <c r="H479" s="35"/>
      <c r="I479" s="35"/>
      <c r="J479" s="34"/>
      <c r="K479" s="27" t="str">
        <f aca="false">IF(H479="","",MAX(0,H479-IF(I479="",0,I479)))</f>
        <v/>
      </c>
      <c r="L479" s="25" t="str">
        <f aca="true">IF(H479="","",IF(I479&gt;=H479,"✅ Paid",IF(G479&lt;TODAY(),"🔴 Overdue",IF(G479&lt;=TODAY()+90,"🟡 Due Soon","⬜ Upcoming"))))</f>
        <v/>
      </c>
    </row>
    <row r="480" customFormat="false" ht="15" hidden="false" customHeight="false" outlineLevel="0" collapsed="false">
      <c r="A480" s="24" t="n">
        <v>478</v>
      </c>
      <c r="C480" s="26"/>
      <c r="D480" s="25" t="n">
        <f aca="false">IFERROR(INDEX('DATA ENTRY'!$S:$S,MATCH(C480,'DATA ENTRY'!$B:$B,0)),"")</f>
        <v>0</v>
      </c>
      <c r="E480" s="25" t="n">
        <f aca="false">IFERROR(INDEX('DATA ENTRY'!$C:$C,MATCH(C480,'DATA ENTRY'!$B:$B,0)),"")</f>
        <v>0</v>
      </c>
      <c r="F480" s="25" t="n">
        <f aca="false">IFERROR(INDEX('DATA ENTRY'!$E:$E,MATCH(C480,'DATA ENTRY'!$B:$B,0)),"")</f>
        <v>0</v>
      </c>
      <c r="G480" s="34"/>
      <c r="H480" s="35"/>
      <c r="I480" s="35"/>
      <c r="J480" s="34"/>
      <c r="K480" s="27" t="str">
        <f aca="false">IF(H480="","",MAX(0,H480-IF(I480="",0,I480)))</f>
        <v/>
      </c>
      <c r="L480" s="25" t="str">
        <f aca="true">IF(H480="","",IF(I480&gt;=H480,"✅ Paid",IF(G480&lt;TODAY(),"🔴 Overdue",IF(G480&lt;=TODAY()+90,"🟡 Due Soon","⬜ Upcoming"))))</f>
        <v/>
      </c>
    </row>
    <row r="481" customFormat="false" ht="15" hidden="false" customHeight="false" outlineLevel="0" collapsed="false">
      <c r="A481" s="24" t="n">
        <v>479</v>
      </c>
      <c r="C481" s="26"/>
      <c r="D481" s="25" t="n">
        <f aca="false">IFERROR(INDEX('DATA ENTRY'!$S:$S,MATCH(C481,'DATA ENTRY'!$B:$B,0)),"")</f>
        <v>0</v>
      </c>
      <c r="E481" s="25" t="n">
        <f aca="false">IFERROR(INDEX('DATA ENTRY'!$C:$C,MATCH(C481,'DATA ENTRY'!$B:$B,0)),"")</f>
        <v>0</v>
      </c>
      <c r="F481" s="25" t="n">
        <f aca="false">IFERROR(INDEX('DATA ENTRY'!$E:$E,MATCH(C481,'DATA ENTRY'!$B:$B,0)),"")</f>
        <v>0</v>
      </c>
      <c r="G481" s="34"/>
      <c r="H481" s="35"/>
      <c r="I481" s="35"/>
      <c r="J481" s="34"/>
      <c r="K481" s="27" t="str">
        <f aca="false">IF(H481="","",MAX(0,H481-IF(I481="",0,I481)))</f>
        <v/>
      </c>
      <c r="L481" s="25" t="str">
        <f aca="true">IF(H481="","",IF(I481&gt;=H481,"✅ Paid",IF(G481&lt;TODAY(),"🔴 Overdue",IF(G481&lt;=TODAY()+90,"🟡 Due Soon","⬜ Upcoming"))))</f>
        <v/>
      </c>
    </row>
    <row r="482" customFormat="false" ht="15" hidden="false" customHeight="false" outlineLevel="0" collapsed="false">
      <c r="A482" s="24" t="n">
        <v>480</v>
      </c>
      <c r="C482" s="26"/>
      <c r="D482" s="25" t="n">
        <f aca="false">IFERROR(INDEX('DATA ENTRY'!$S:$S,MATCH(C482,'DATA ENTRY'!$B:$B,0)),"")</f>
        <v>0</v>
      </c>
      <c r="E482" s="25" t="n">
        <f aca="false">IFERROR(INDEX('DATA ENTRY'!$C:$C,MATCH(C482,'DATA ENTRY'!$B:$B,0)),"")</f>
        <v>0</v>
      </c>
      <c r="F482" s="25" t="n">
        <f aca="false">IFERROR(INDEX('DATA ENTRY'!$E:$E,MATCH(C482,'DATA ENTRY'!$B:$B,0)),"")</f>
        <v>0</v>
      </c>
      <c r="G482" s="34"/>
      <c r="H482" s="35"/>
      <c r="I482" s="35"/>
      <c r="J482" s="34"/>
      <c r="K482" s="27" t="str">
        <f aca="false">IF(H482="","",MAX(0,H482-IF(I482="",0,I482)))</f>
        <v/>
      </c>
      <c r="L482" s="25" t="str">
        <f aca="true">IF(H482="","",IF(I482&gt;=H482,"✅ Paid",IF(G482&lt;TODAY(),"🔴 Overdue",IF(G482&lt;=TODAY()+90,"🟡 Due Soon","⬜ Upcoming"))))</f>
        <v/>
      </c>
    </row>
    <row r="483" customFormat="false" ht="15" hidden="false" customHeight="false" outlineLevel="0" collapsed="false">
      <c r="A483" s="24" t="n">
        <v>481</v>
      </c>
      <c r="C483" s="26"/>
      <c r="D483" s="25" t="n">
        <f aca="false">IFERROR(INDEX('DATA ENTRY'!$S:$S,MATCH(C483,'DATA ENTRY'!$B:$B,0)),"")</f>
        <v>0</v>
      </c>
      <c r="E483" s="25" t="n">
        <f aca="false">IFERROR(INDEX('DATA ENTRY'!$C:$C,MATCH(C483,'DATA ENTRY'!$B:$B,0)),"")</f>
        <v>0</v>
      </c>
      <c r="F483" s="25" t="n">
        <f aca="false">IFERROR(INDEX('DATA ENTRY'!$E:$E,MATCH(C483,'DATA ENTRY'!$B:$B,0)),"")</f>
        <v>0</v>
      </c>
      <c r="G483" s="34"/>
      <c r="H483" s="35"/>
      <c r="I483" s="35"/>
      <c r="J483" s="34"/>
      <c r="K483" s="27" t="str">
        <f aca="false">IF(H483="","",MAX(0,H483-IF(I483="",0,I483)))</f>
        <v/>
      </c>
      <c r="L483" s="25" t="str">
        <f aca="true">IF(H483="","",IF(I483&gt;=H483,"✅ Paid",IF(G483&lt;TODAY(),"🔴 Overdue",IF(G483&lt;=TODAY()+90,"🟡 Due Soon","⬜ Upcoming"))))</f>
        <v/>
      </c>
    </row>
    <row r="484" customFormat="false" ht="15" hidden="false" customHeight="false" outlineLevel="0" collapsed="false">
      <c r="A484" s="24" t="n">
        <v>482</v>
      </c>
      <c r="C484" s="26"/>
      <c r="D484" s="25" t="n">
        <f aca="false">IFERROR(INDEX('DATA ENTRY'!$S:$S,MATCH(C484,'DATA ENTRY'!$B:$B,0)),"")</f>
        <v>0</v>
      </c>
      <c r="E484" s="25" t="n">
        <f aca="false">IFERROR(INDEX('DATA ENTRY'!$C:$C,MATCH(C484,'DATA ENTRY'!$B:$B,0)),"")</f>
        <v>0</v>
      </c>
      <c r="F484" s="25" t="n">
        <f aca="false">IFERROR(INDEX('DATA ENTRY'!$E:$E,MATCH(C484,'DATA ENTRY'!$B:$B,0)),"")</f>
        <v>0</v>
      </c>
      <c r="G484" s="34"/>
      <c r="H484" s="35"/>
      <c r="I484" s="35"/>
      <c r="J484" s="34"/>
      <c r="K484" s="27" t="str">
        <f aca="false">IF(H484="","",MAX(0,H484-IF(I484="",0,I484)))</f>
        <v/>
      </c>
      <c r="L484" s="25" t="str">
        <f aca="true">IF(H484="","",IF(I484&gt;=H484,"✅ Paid",IF(G484&lt;TODAY(),"🔴 Overdue",IF(G484&lt;=TODAY()+90,"🟡 Due Soon","⬜ Upcoming"))))</f>
        <v/>
      </c>
    </row>
    <row r="485" customFormat="false" ht="15" hidden="false" customHeight="false" outlineLevel="0" collapsed="false">
      <c r="A485" s="24" t="n">
        <v>483</v>
      </c>
      <c r="C485" s="26"/>
      <c r="D485" s="25" t="n">
        <f aca="false">IFERROR(INDEX('DATA ENTRY'!$S:$S,MATCH(C485,'DATA ENTRY'!$B:$B,0)),"")</f>
        <v>0</v>
      </c>
      <c r="E485" s="25" t="n">
        <f aca="false">IFERROR(INDEX('DATA ENTRY'!$C:$C,MATCH(C485,'DATA ENTRY'!$B:$B,0)),"")</f>
        <v>0</v>
      </c>
      <c r="F485" s="25" t="n">
        <f aca="false">IFERROR(INDEX('DATA ENTRY'!$E:$E,MATCH(C485,'DATA ENTRY'!$B:$B,0)),"")</f>
        <v>0</v>
      </c>
      <c r="G485" s="34"/>
      <c r="H485" s="35"/>
      <c r="I485" s="35"/>
      <c r="J485" s="34"/>
      <c r="K485" s="27" t="str">
        <f aca="false">IF(H485="","",MAX(0,H485-IF(I485="",0,I485)))</f>
        <v/>
      </c>
      <c r="L485" s="25" t="str">
        <f aca="true">IF(H485="","",IF(I485&gt;=H485,"✅ Paid",IF(G485&lt;TODAY(),"🔴 Overdue",IF(G485&lt;=TODAY()+90,"🟡 Due Soon","⬜ Upcoming"))))</f>
        <v/>
      </c>
    </row>
    <row r="486" customFormat="false" ht="15" hidden="false" customHeight="false" outlineLevel="0" collapsed="false">
      <c r="A486" s="24" t="n">
        <v>484</v>
      </c>
      <c r="C486" s="26"/>
      <c r="D486" s="25" t="n">
        <f aca="false">IFERROR(INDEX('DATA ENTRY'!$S:$S,MATCH(C486,'DATA ENTRY'!$B:$B,0)),"")</f>
        <v>0</v>
      </c>
      <c r="E486" s="25" t="n">
        <f aca="false">IFERROR(INDEX('DATA ENTRY'!$C:$C,MATCH(C486,'DATA ENTRY'!$B:$B,0)),"")</f>
        <v>0</v>
      </c>
      <c r="F486" s="25" t="n">
        <f aca="false">IFERROR(INDEX('DATA ENTRY'!$E:$E,MATCH(C486,'DATA ENTRY'!$B:$B,0)),"")</f>
        <v>0</v>
      </c>
      <c r="G486" s="34"/>
      <c r="H486" s="35"/>
      <c r="I486" s="35"/>
      <c r="J486" s="34"/>
      <c r="K486" s="27" t="str">
        <f aca="false">IF(H486="","",MAX(0,H486-IF(I486="",0,I486)))</f>
        <v/>
      </c>
      <c r="L486" s="25" t="str">
        <f aca="true">IF(H486="","",IF(I486&gt;=H486,"✅ Paid",IF(G486&lt;TODAY(),"🔴 Overdue",IF(G486&lt;=TODAY()+90,"🟡 Due Soon","⬜ Upcoming"))))</f>
        <v/>
      </c>
    </row>
    <row r="487" customFormat="false" ht="15" hidden="false" customHeight="false" outlineLevel="0" collapsed="false">
      <c r="A487" s="24" t="n">
        <v>485</v>
      </c>
      <c r="C487" s="26"/>
      <c r="D487" s="25" t="n">
        <f aca="false">IFERROR(INDEX('DATA ENTRY'!$S:$S,MATCH(C487,'DATA ENTRY'!$B:$B,0)),"")</f>
        <v>0</v>
      </c>
      <c r="E487" s="25" t="n">
        <f aca="false">IFERROR(INDEX('DATA ENTRY'!$C:$C,MATCH(C487,'DATA ENTRY'!$B:$B,0)),"")</f>
        <v>0</v>
      </c>
      <c r="F487" s="25" t="n">
        <f aca="false">IFERROR(INDEX('DATA ENTRY'!$E:$E,MATCH(C487,'DATA ENTRY'!$B:$B,0)),"")</f>
        <v>0</v>
      </c>
      <c r="G487" s="34"/>
      <c r="H487" s="35"/>
      <c r="I487" s="35"/>
      <c r="J487" s="34"/>
      <c r="K487" s="27" t="str">
        <f aca="false">IF(H487="","",MAX(0,H487-IF(I487="",0,I487)))</f>
        <v/>
      </c>
      <c r="L487" s="25" t="str">
        <f aca="true">IF(H487="","",IF(I487&gt;=H487,"✅ Paid",IF(G487&lt;TODAY(),"🔴 Overdue",IF(G487&lt;=TODAY()+90,"🟡 Due Soon","⬜ Upcoming"))))</f>
        <v/>
      </c>
    </row>
    <row r="488" customFormat="false" ht="15" hidden="false" customHeight="false" outlineLevel="0" collapsed="false">
      <c r="A488" s="24" t="n">
        <v>486</v>
      </c>
      <c r="C488" s="26"/>
      <c r="D488" s="25" t="n">
        <f aca="false">IFERROR(INDEX('DATA ENTRY'!$S:$S,MATCH(C488,'DATA ENTRY'!$B:$B,0)),"")</f>
        <v>0</v>
      </c>
      <c r="E488" s="25" t="n">
        <f aca="false">IFERROR(INDEX('DATA ENTRY'!$C:$C,MATCH(C488,'DATA ENTRY'!$B:$B,0)),"")</f>
        <v>0</v>
      </c>
      <c r="F488" s="25" t="n">
        <f aca="false">IFERROR(INDEX('DATA ENTRY'!$E:$E,MATCH(C488,'DATA ENTRY'!$B:$B,0)),"")</f>
        <v>0</v>
      </c>
      <c r="G488" s="34"/>
      <c r="H488" s="35"/>
      <c r="I488" s="35"/>
      <c r="J488" s="34"/>
      <c r="K488" s="27" t="str">
        <f aca="false">IF(H488="","",MAX(0,H488-IF(I488="",0,I488)))</f>
        <v/>
      </c>
      <c r="L488" s="25" t="str">
        <f aca="true">IF(H488="","",IF(I488&gt;=H488,"✅ Paid",IF(G488&lt;TODAY(),"🔴 Overdue",IF(G488&lt;=TODAY()+90,"🟡 Due Soon","⬜ Upcoming"))))</f>
        <v/>
      </c>
    </row>
    <row r="489" customFormat="false" ht="15" hidden="false" customHeight="false" outlineLevel="0" collapsed="false">
      <c r="A489" s="24" t="n">
        <v>487</v>
      </c>
      <c r="C489" s="26"/>
      <c r="D489" s="25" t="n">
        <f aca="false">IFERROR(INDEX('DATA ENTRY'!$S:$S,MATCH(C489,'DATA ENTRY'!$B:$B,0)),"")</f>
        <v>0</v>
      </c>
      <c r="E489" s="25" t="n">
        <f aca="false">IFERROR(INDEX('DATA ENTRY'!$C:$C,MATCH(C489,'DATA ENTRY'!$B:$B,0)),"")</f>
        <v>0</v>
      </c>
      <c r="F489" s="25" t="n">
        <f aca="false">IFERROR(INDEX('DATA ENTRY'!$E:$E,MATCH(C489,'DATA ENTRY'!$B:$B,0)),"")</f>
        <v>0</v>
      </c>
      <c r="G489" s="34"/>
      <c r="H489" s="35"/>
      <c r="I489" s="35"/>
      <c r="J489" s="34"/>
      <c r="K489" s="27" t="str">
        <f aca="false">IF(H489="","",MAX(0,H489-IF(I489="",0,I489)))</f>
        <v/>
      </c>
      <c r="L489" s="25" t="str">
        <f aca="true">IF(H489="","",IF(I489&gt;=H489,"✅ Paid",IF(G489&lt;TODAY(),"🔴 Overdue",IF(G489&lt;=TODAY()+90,"🟡 Due Soon","⬜ Upcoming"))))</f>
        <v/>
      </c>
    </row>
    <row r="490" customFormat="false" ht="15" hidden="false" customHeight="false" outlineLevel="0" collapsed="false">
      <c r="A490" s="24" t="n">
        <v>488</v>
      </c>
      <c r="C490" s="26"/>
      <c r="D490" s="25" t="n">
        <f aca="false">IFERROR(INDEX('DATA ENTRY'!$S:$S,MATCH(C490,'DATA ENTRY'!$B:$B,0)),"")</f>
        <v>0</v>
      </c>
      <c r="E490" s="25" t="n">
        <f aca="false">IFERROR(INDEX('DATA ENTRY'!$C:$C,MATCH(C490,'DATA ENTRY'!$B:$B,0)),"")</f>
        <v>0</v>
      </c>
      <c r="F490" s="25" t="n">
        <f aca="false">IFERROR(INDEX('DATA ENTRY'!$E:$E,MATCH(C490,'DATA ENTRY'!$B:$B,0)),"")</f>
        <v>0</v>
      </c>
      <c r="G490" s="34"/>
      <c r="H490" s="35"/>
      <c r="I490" s="35"/>
      <c r="J490" s="34"/>
      <c r="K490" s="27" t="str">
        <f aca="false">IF(H490="","",MAX(0,H490-IF(I490="",0,I490)))</f>
        <v/>
      </c>
      <c r="L490" s="25" t="str">
        <f aca="true">IF(H490="","",IF(I490&gt;=H490,"✅ Paid",IF(G490&lt;TODAY(),"🔴 Overdue",IF(G490&lt;=TODAY()+90,"🟡 Due Soon","⬜ Upcoming"))))</f>
        <v/>
      </c>
    </row>
    <row r="491" customFormat="false" ht="15" hidden="false" customHeight="false" outlineLevel="0" collapsed="false">
      <c r="A491" s="24" t="n">
        <v>489</v>
      </c>
      <c r="C491" s="26"/>
      <c r="D491" s="25" t="n">
        <f aca="false">IFERROR(INDEX('DATA ENTRY'!$S:$S,MATCH(C491,'DATA ENTRY'!$B:$B,0)),"")</f>
        <v>0</v>
      </c>
      <c r="E491" s="25" t="n">
        <f aca="false">IFERROR(INDEX('DATA ENTRY'!$C:$C,MATCH(C491,'DATA ENTRY'!$B:$B,0)),"")</f>
        <v>0</v>
      </c>
      <c r="F491" s="25" t="n">
        <f aca="false">IFERROR(INDEX('DATA ENTRY'!$E:$E,MATCH(C491,'DATA ENTRY'!$B:$B,0)),"")</f>
        <v>0</v>
      </c>
      <c r="G491" s="34"/>
      <c r="H491" s="35"/>
      <c r="I491" s="35"/>
      <c r="J491" s="34"/>
      <c r="K491" s="27" t="str">
        <f aca="false">IF(H491="","",MAX(0,H491-IF(I491="",0,I491)))</f>
        <v/>
      </c>
      <c r="L491" s="25" t="str">
        <f aca="true">IF(H491="","",IF(I491&gt;=H491,"✅ Paid",IF(G491&lt;TODAY(),"🔴 Overdue",IF(G491&lt;=TODAY()+90,"🟡 Due Soon","⬜ Upcoming"))))</f>
        <v/>
      </c>
    </row>
    <row r="492" customFormat="false" ht="15" hidden="false" customHeight="false" outlineLevel="0" collapsed="false">
      <c r="A492" s="24" t="n">
        <v>490</v>
      </c>
      <c r="C492" s="26"/>
      <c r="D492" s="25" t="n">
        <f aca="false">IFERROR(INDEX('DATA ENTRY'!$S:$S,MATCH(C492,'DATA ENTRY'!$B:$B,0)),"")</f>
        <v>0</v>
      </c>
      <c r="E492" s="25" t="n">
        <f aca="false">IFERROR(INDEX('DATA ENTRY'!$C:$C,MATCH(C492,'DATA ENTRY'!$B:$B,0)),"")</f>
        <v>0</v>
      </c>
      <c r="F492" s="25" t="n">
        <f aca="false">IFERROR(INDEX('DATA ENTRY'!$E:$E,MATCH(C492,'DATA ENTRY'!$B:$B,0)),"")</f>
        <v>0</v>
      </c>
      <c r="G492" s="34"/>
      <c r="H492" s="35"/>
      <c r="I492" s="35"/>
      <c r="J492" s="34"/>
      <c r="K492" s="27" t="str">
        <f aca="false">IF(H492="","",MAX(0,H492-IF(I492="",0,I492)))</f>
        <v/>
      </c>
      <c r="L492" s="25" t="str">
        <f aca="true">IF(H492="","",IF(I492&gt;=H492,"✅ Paid",IF(G492&lt;TODAY(),"🔴 Overdue",IF(G492&lt;=TODAY()+90,"🟡 Due Soon","⬜ Upcoming"))))</f>
        <v/>
      </c>
    </row>
    <row r="493" customFormat="false" ht="15" hidden="false" customHeight="false" outlineLevel="0" collapsed="false">
      <c r="A493" s="24" t="n">
        <v>491</v>
      </c>
      <c r="C493" s="26"/>
      <c r="D493" s="25" t="n">
        <f aca="false">IFERROR(INDEX('DATA ENTRY'!$S:$S,MATCH(C493,'DATA ENTRY'!$B:$B,0)),"")</f>
        <v>0</v>
      </c>
      <c r="E493" s="25" t="n">
        <f aca="false">IFERROR(INDEX('DATA ENTRY'!$C:$C,MATCH(C493,'DATA ENTRY'!$B:$B,0)),"")</f>
        <v>0</v>
      </c>
      <c r="F493" s="25" t="n">
        <f aca="false">IFERROR(INDEX('DATA ENTRY'!$E:$E,MATCH(C493,'DATA ENTRY'!$B:$B,0)),"")</f>
        <v>0</v>
      </c>
      <c r="G493" s="34"/>
      <c r="H493" s="35"/>
      <c r="I493" s="35"/>
      <c r="J493" s="34"/>
      <c r="K493" s="27" t="str">
        <f aca="false">IF(H493="","",MAX(0,H493-IF(I493="",0,I493)))</f>
        <v/>
      </c>
      <c r="L493" s="25" t="str">
        <f aca="true">IF(H493="","",IF(I493&gt;=H493,"✅ Paid",IF(G493&lt;TODAY(),"🔴 Overdue",IF(G493&lt;=TODAY()+90,"🟡 Due Soon","⬜ Upcoming"))))</f>
        <v/>
      </c>
    </row>
    <row r="494" customFormat="false" ht="15" hidden="false" customHeight="false" outlineLevel="0" collapsed="false">
      <c r="A494" s="24" t="n">
        <v>492</v>
      </c>
      <c r="C494" s="26"/>
      <c r="D494" s="25" t="n">
        <f aca="false">IFERROR(INDEX('DATA ENTRY'!$S:$S,MATCH(C494,'DATA ENTRY'!$B:$B,0)),"")</f>
        <v>0</v>
      </c>
      <c r="E494" s="25" t="n">
        <f aca="false">IFERROR(INDEX('DATA ENTRY'!$C:$C,MATCH(C494,'DATA ENTRY'!$B:$B,0)),"")</f>
        <v>0</v>
      </c>
      <c r="F494" s="25" t="n">
        <f aca="false">IFERROR(INDEX('DATA ENTRY'!$E:$E,MATCH(C494,'DATA ENTRY'!$B:$B,0)),"")</f>
        <v>0</v>
      </c>
      <c r="G494" s="34"/>
      <c r="H494" s="35"/>
      <c r="I494" s="35"/>
      <c r="J494" s="34"/>
      <c r="K494" s="27" t="str">
        <f aca="false">IF(H494="","",MAX(0,H494-IF(I494="",0,I494)))</f>
        <v/>
      </c>
      <c r="L494" s="25" t="str">
        <f aca="true">IF(H494="","",IF(I494&gt;=H494,"✅ Paid",IF(G494&lt;TODAY(),"🔴 Overdue",IF(G494&lt;=TODAY()+90,"🟡 Due Soon","⬜ Upcoming"))))</f>
        <v/>
      </c>
    </row>
    <row r="495" customFormat="false" ht="15" hidden="false" customHeight="false" outlineLevel="0" collapsed="false">
      <c r="A495" s="24" t="n">
        <v>493</v>
      </c>
      <c r="C495" s="26"/>
      <c r="D495" s="25" t="n">
        <f aca="false">IFERROR(INDEX('DATA ENTRY'!$S:$S,MATCH(C495,'DATA ENTRY'!$B:$B,0)),"")</f>
        <v>0</v>
      </c>
      <c r="E495" s="25" t="n">
        <f aca="false">IFERROR(INDEX('DATA ENTRY'!$C:$C,MATCH(C495,'DATA ENTRY'!$B:$B,0)),"")</f>
        <v>0</v>
      </c>
      <c r="F495" s="25" t="n">
        <f aca="false">IFERROR(INDEX('DATA ENTRY'!$E:$E,MATCH(C495,'DATA ENTRY'!$B:$B,0)),"")</f>
        <v>0</v>
      </c>
      <c r="G495" s="34"/>
      <c r="H495" s="35"/>
      <c r="I495" s="35"/>
      <c r="J495" s="34"/>
      <c r="K495" s="27" t="str">
        <f aca="false">IF(H495="","",MAX(0,H495-IF(I495="",0,I495)))</f>
        <v/>
      </c>
      <c r="L495" s="25" t="str">
        <f aca="true">IF(H495="","",IF(I495&gt;=H495,"✅ Paid",IF(G495&lt;TODAY(),"🔴 Overdue",IF(G495&lt;=TODAY()+90,"🟡 Due Soon","⬜ Upcoming"))))</f>
        <v/>
      </c>
    </row>
    <row r="496" customFormat="false" ht="15" hidden="false" customHeight="false" outlineLevel="0" collapsed="false">
      <c r="A496" s="24" t="n">
        <v>494</v>
      </c>
      <c r="C496" s="26"/>
      <c r="D496" s="25" t="n">
        <f aca="false">IFERROR(INDEX('DATA ENTRY'!$S:$S,MATCH(C496,'DATA ENTRY'!$B:$B,0)),"")</f>
        <v>0</v>
      </c>
      <c r="E496" s="25" t="n">
        <f aca="false">IFERROR(INDEX('DATA ENTRY'!$C:$C,MATCH(C496,'DATA ENTRY'!$B:$B,0)),"")</f>
        <v>0</v>
      </c>
      <c r="F496" s="25" t="n">
        <f aca="false">IFERROR(INDEX('DATA ENTRY'!$E:$E,MATCH(C496,'DATA ENTRY'!$B:$B,0)),"")</f>
        <v>0</v>
      </c>
      <c r="G496" s="34"/>
      <c r="H496" s="35"/>
      <c r="I496" s="35"/>
      <c r="J496" s="34"/>
      <c r="K496" s="27" t="str">
        <f aca="false">IF(H496="","",MAX(0,H496-IF(I496="",0,I496)))</f>
        <v/>
      </c>
      <c r="L496" s="25" t="str">
        <f aca="true">IF(H496="","",IF(I496&gt;=H496,"✅ Paid",IF(G496&lt;TODAY(),"🔴 Overdue",IF(G496&lt;=TODAY()+90,"🟡 Due Soon","⬜ Upcoming"))))</f>
        <v/>
      </c>
    </row>
    <row r="497" customFormat="false" ht="15" hidden="false" customHeight="false" outlineLevel="0" collapsed="false">
      <c r="A497" s="24" t="n">
        <v>495</v>
      </c>
      <c r="C497" s="26"/>
      <c r="D497" s="25" t="n">
        <f aca="false">IFERROR(INDEX('DATA ENTRY'!$S:$S,MATCH(C497,'DATA ENTRY'!$B:$B,0)),"")</f>
        <v>0</v>
      </c>
      <c r="E497" s="25" t="n">
        <f aca="false">IFERROR(INDEX('DATA ENTRY'!$C:$C,MATCH(C497,'DATA ENTRY'!$B:$B,0)),"")</f>
        <v>0</v>
      </c>
      <c r="F497" s="25" t="n">
        <f aca="false">IFERROR(INDEX('DATA ENTRY'!$E:$E,MATCH(C497,'DATA ENTRY'!$B:$B,0)),"")</f>
        <v>0</v>
      </c>
      <c r="G497" s="34"/>
      <c r="H497" s="35"/>
      <c r="I497" s="35"/>
      <c r="J497" s="34"/>
      <c r="K497" s="27" t="str">
        <f aca="false">IF(H497="","",MAX(0,H497-IF(I497="",0,I497)))</f>
        <v/>
      </c>
      <c r="L497" s="25" t="str">
        <f aca="true">IF(H497="","",IF(I497&gt;=H497,"✅ Paid",IF(G497&lt;TODAY(),"🔴 Overdue",IF(G497&lt;=TODAY()+90,"🟡 Due Soon","⬜ Upcoming"))))</f>
        <v/>
      </c>
    </row>
    <row r="498" customFormat="false" ht="15" hidden="false" customHeight="false" outlineLevel="0" collapsed="false">
      <c r="A498" s="24" t="n">
        <v>496</v>
      </c>
      <c r="C498" s="26"/>
      <c r="D498" s="25" t="n">
        <f aca="false">IFERROR(INDEX('DATA ENTRY'!$S:$S,MATCH(C498,'DATA ENTRY'!$B:$B,0)),"")</f>
        <v>0</v>
      </c>
      <c r="E498" s="25" t="n">
        <f aca="false">IFERROR(INDEX('DATA ENTRY'!$C:$C,MATCH(C498,'DATA ENTRY'!$B:$B,0)),"")</f>
        <v>0</v>
      </c>
      <c r="F498" s="25" t="n">
        <f aca="false">IFERROR(INDEX('DATA ENTRY'!$E:$E,MATCH(C498,'DATA ENTRY'!$B:$B,0)),"")</f>
        <v>0</v>
      </c>
      <c r="G498" s="34"/>
      <c r="H498" s="35"/>
      <c r="I498" s="35"/>
      <c r="J498" s="34"/>
      <c r="K498" s="27" t="str">
        <f aca="false">IF(H498="","",MAX(0,H498-IF(I498="",0,I498)))</f>
        <v/>
      </c>
      <c r="L498" s="25" t="str">
        <f aca="true">IF(H498="","",IF(I498&gt;=H498,"✅ Paid",IF(G498&lt;TODAY(),"🔴 Overdue",IF(G498&lt;=TODAY()+90,"🟡 Due Soon","⬜ Upcoming"))))</f>
        <v/>
      </c>
    </row>
    <row r="499" customFormat="false" ht="15" hidden="false" customHeight="false" outlineLevel="0" collapsed="false">
      <c r="A499" s="24" t="n">
        <v>497</v>
      </c>
      <c r="C499" s="26"/>
      <c r="D499" s="25" t="n">
        <f aca="false">IFERROR(INDEX('DATA ENTRY'!$S:$S,MATCH(C499,'DATA ENTRY'!$B:$B,0)),"")</f>
        <v>0</v>
      </c>
      <c r="E499" s="25" t="n">
        <f aca="false">IFERROR(INDEX('DATA ENTRY'!$C:$C,MATCH(C499,'DATA ENTRY'!$B:$B,0)),"")</f>
        <v>0</v>
      </c>
      <c r="F499" s="25" t="n">
        <f aca="false">IFERROR(INDEX('DATA ENTRY'!$E:$E,MATCH(C499,'DATA ENTRY'!$B:$B,0)),"")</f>
        <v>0</v>
      </c>
      <c r="G499" s="34"/>
      <c r="H499" s="35"/>
      <c r="I499" s="35"/>
      <c r="J499" s="34"/>
      <c r="K499" s="27" t="str">
        <f aca="false">IF(H499="","",MAX(0,H499-IF(I499="",0,I499)))</f>
        <v/>
      </c>
      <c r="L499" s="25" t="str">
        <f aca="true">IF(H499="","",IF(I499&gt;=H499,"✅ Paid",IF(G499&lt;TODAY(),"🔴 Overdue",IF(G499&lt;=TODAY()+90,"🟡 Due Soon","⬜ Upcoming"))))</f>
        <v/>
      </c>
    </row>
    <row r="500" customFormat="false" ht="15" hidden="false" customHeight="false" outlineLevel="0" collapsed="false">
      <c r="A500" s="24" t="n">
        <v>498</v>
      </c>
      <c r="C500" s="26"/>
      <c r="D500" s="25" t="n">
        <f aca="false">IFERROR(INDEX('DATA ENTRY'!$S:$S,MATCH(C500,'DATA ENTRY'!$B:$B,0)),"")</f>
        <v>0</v>
      </c>
      <c r="E500" s="25" t="n">
        <f aca="false">IFERROR(INDEX('DATA ENTRY'!$C:$C,MATCH(C500,'DATA ENTRY'!$B:$B,0)),"")</f>
        <v>0</v>
      </c>
      <c r="F500" s="25" t="n">
        <f aca="false">IFERROR(INDEX('DATA ENTRY'!$E:$E,MATCH(C500,'DATA ENTRY'!$B:$B,0)),"")</f>
        <v>0</v>
      </c>
      <c r="G500" s="34"/>
      <c r="H500" s="35"/>
      <c r="I500" s="35"/>
      <c r="J500" s="34"/>
      <c r="K500" s="27" t="str">
        <f aca="false">IF(H500="","",MAX(0,H500-IF(I500="",0,I500)))</f>
        <v/>
      </c>
      <c r="L500" s="25" t="str">
        <f aca="true">IF(H500="","",IF(I500&gt;=H500,"✅ Paid",IF(G500&lt;TODAY(),"🔴 Overdue",IF(G500&lt;=TODAY()+90,"🟡 Due Soon","⬜ Upcoming"))))</f>
        <v/>
      </c>
    </row>
    <row r="501" customFormat="false" ht="15" hidden="false" customHeight="false" outlineLevel="0" collapsed="false">
      <c r="A501" s="24" t="n">
        <v>499</v>
      </c>
      <c r="C501" s="26"/>
      <c r="D501" s="25" t="n">
        <f aca="false">IFERROR(INDEX('DATA ENTRY'!$S:$S,MATCH(C501,'DATA ENTRY'!$B:$B,0)),"")</f>
        <v>0</v>
      </c>
      <c r="E501" s="25" t="n">
        <f aca="false">IFERROR(INDEX('DATA ENTRY'!$C:$C,MATCH(C501,'DATA ENTRY'!$B:$B,0)),"")</f>
        <v>0</v>
      </c>
      <c r="F501" s="25" t="n">
        <f aca="false">IFERROR(INDEX('DATA ENTRY'!$E:$E,MATCH(C501,'DATA ENTRY'!$B:$B,0)),"")</f>
        <v>0</v>
      </c>
      <c r="G501" s="34"/>
      <c r="H501" s="35"/>
      <c r="I501" s="35"/>
      <c r="J501" s="34"/>
      <c r="K501" s="27" t="str">
        <f aca="false">IF(H501="","",MAX(0,H501-IF(I501="",0,I501)))</f>
        <v/>
      </c>
      <c r="L501" s="25" t="str">
        <f aca="true">IF(H501="","",IF(I501&gt;=H501,"✅ Paid",IF(G501&lt;TODAY(),"🔴 Overdue",IF(G501&lt;=TODAY()+90,"🟡 Due Soon","⬜ Upcoming"))))</f>
        <v/>
      </c>
    </row>
    <row r="502" customFormat="false" ht="15" hidden="false" customHeight="false" outlineLevel="0" collapsed="false">
      <c r="A502" s="24" t="n">
        <v>500</v>
      </c>
      <c r="C502" s="26"/>
      <c r="D502" s="25" t="n">
        <f aca="false">IFERROR(INDEX('DATA ENTRY'!$S:$S,MATCH(C502,'DATA ENTRY'!$B:$B,0)),"")</f>
        <v>0</v>
      </c>
      <c r="E502" s="25" t="n">
        <f aca="false">IFERROR(INDEX('DATA ENTRY'!$C:$C,MATCH(C502,'DATA ENTRY'!$B:$B,0)),"")</f>
        <v>0</v>
      </c>
      <c r="F502" s="25" t="n">
        <f aca="false">IFERROR(INDEX('DATA ENTRY'!$E:$E,MATCH(C502,'DATA ENTRY'!$B:$B,0)),"")</f>
        <v>0</v>
      </c>
      <c r="G502" s="34"/>
      <c r="H502" s="35"/>
      <c r="I502" s="35"/>
      <c r="J502" s="34"/>
      <c r="K502" s="27" t="str">
        <f aca="false">IF(H502="","",MAX(0,H502-IF(I502="",0,I502)))</f>
        <v/>
      </c>
      <c r="L502" s="25" t="str">
        <f aca="true">IF(H502="","",IF(I502&gt;=H502,"✅ Paid",IF(G502&lt;TODAY(),"🔴 Overdue",IF(G502&lt;=TODAY()+90,"🟡 Due Soon","⬜ Upcoming"))))</f>
        <v/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"/>
    <col collapsed="false" customWidth="true" hidden="false" outlineLevel="0" max="3" min="3" style="0" width="6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8"/>
    <col collapsed="false" customWidth="true" hidden="false" outlineLevel="0" max="9" min="9" style="0" width="20"/>
  </cols>
  <sheetData>
    <row r="1" customFormat="false" ht="37.5" hidden="false" customHeight="true" outlineLevel="0" collapsed="false">
      <c r="A1" s="33" t="s">
        <v>127</v>
      </c>
      <c r="B1" s="33"/>
      <c r="C1" s="33"/>
      <c r="D1" s="33"/>
      <c r="E1" s="33"/>
      <c r="F1" s="33"/>
      <c r="G1" s="33"/>
      <c r="H1" s="33"/>
    </row>
    <row r="4" customFormat="false" ht="15" hidden="false" customHeight="false" outlineLevel="0" collapsed="false">
      <c r="B4" s="36" t="s">
        <v>120</v>
      </c>
      <c r="C4" s="26"/>
    </row>
    <row r="5" customFormat="false" ht="15" hidden="false" customHeight="false" outlineLevel="0" collapsed="false">
      <c r="B5" s="36" t="s">
        <v>128</v>
      </c>
      <c r="D5" s="25" t="n">
        <f aca="false">IFERROR(INDEX('DATA ENTRY'!$S:$S,MATCH(C4,'DATA ENTRY'!$B:$B,0)),"")</f>
        <v>0</v>
      </c>
    </row>
    <row r="6" customFormat="false" ht="15" hidden="false" customHeight="false" outlineLevel="0" collapsed="false">
      <c r="B6" s="36" t="s">
        <v>72</v>
      </c>
      <c r="D6" s="25" t="n">
        <f aca="false">IFERROR(INDEX('DATA ENTRY'!$C:$C,MATCH(C4,'DATA ENTRY'!$B:$B,0)),"")</f>
        <v>0</v>
      </c>
    </row>
    <row r="7" customFormat="false" ht="15" hidden="false" customHeight="false" outlineLevel="0" collapsed="false">
      <c r="B7" s="36" t="s">
        <v>74</v>
      </c>
      <c r="D7" s="25" t="n">
        <f aca="false">IFERROR(INDEX('DATA ENTRY'!$E:$E,MATCH(C4,'DATA ENTRY'!$B:$B,0)),"")</f>
        <v>0</v>
      </c>
    </row>
    <row r="8" customFormat="false" ht="15" hidden="false" customHeight="false" outlineLevel="0" collapsed="false">
      <c r="B8" s="36" t="s">
        <v>129</v>
      </c>
      <c r="D8" s="25" t="str">
        <f aca="false">IFERROR(INDEX('DATA ENTRY'!$J:$J,MATCH(C4,'DATA ENTRY'!$B:$B,0)),"")</f>
        <v/>
      </c>
    </row>
    <row r="9" customFormat="false" ht="15" hidden="false" customHeight="false" outlineLevel="0" collapsed="false">
      <c r="B9" s="36" t="s">
        <v>130</v>
      </c>
      <c r="D9" s="25" t="n">
        <f aca="false">IFERROR(INDEX('DATA ENTRY'!$K:$K,MATCH(C4,'DATA ENTRY'!$B:$B,0)),"")</f>
        <v>0</v>
      </c>
    </row>
    <row r="10" customFormat="false" ht="15" hidden="false" customHeight="false" outlineLevel="0" collapsed="false">
      <c r="B10" s="36" t="s">
        <v>131</v>
      </c>
      <c r="D10" s="25" t="str">
        <f aca="false">IFERROR(INDEX('DATA ENTRY'!$M:$M,MATCH(C4,'DATA ENTRY'!$B:$B,0)),"")</f>
        <v/>
      </c>
    </row>
    <row r="11" customFormat="false" ht="15" hidden="false" customHeight="false" outlineLevel="0" collapsed="false">
      <c r="B11" s="36" t="s">
        <v>132</v>
      </c>
      <c r="D11" s="25" t="n">
        <f aca="false">IFERROR(INDEX('DATA ENTRY'!$N:$N,MATCH(C4,'DATA ENTRY'!$B:$B,0)),"")</f>
        <v>0</v>
      </c>
    </row>
    <row r="12" customFormat="false" ht="15" hidden="false" customHeight="false" outlineLevel="0" collapsed="false">
      <c r="B12" s="36" t="s">
        <v>133</v>
      </c>
      <c r="D12" s="25" t="n">
        <f aca="false">IFERROR(INDEX('DATA ENTRY'!$L:$L,MATCH(C4,'DATA ENTRY'!$B:$B,0)),"")</f>
        <v>0</v>
      </c>
    </row>
    <row r="13" customFormat="false" ht="15" hidden="false" customHeight="false" outlineLevel="0" collapsed="false">
      <c r="B13" s="36" t="s">
        <v>114</v>
      </c>
      <c r="D13" s="25" t="n">
        <f aca="false">IFERROR(INDEX('DATA ENTRY'!$AU:$AU,MATCH(C4,'DATA ENTRY'!$B:$B,0)),"")</f>
        <v>0</v>
      </c>
    </row>
    <row r="15" customFormat="false" ht="21.75" hidden="false" customHeight="true" outlineLevel="0" collapsed="false">
      <c r="B15" s="3" t="s">
        <v>134</v>
      </c>
      <c r="C15" s="3" t="s">
        <v>135</v>
      </c>
      <c r="D15" s="3" t="s">
        <v>136</v>
      </c>
      <c r="E15" s="3" t="s">
        <v>121</v>
      </c>
      <c r="F15" s="3" t="s">
        <v>122</v>
      </c>
      <c r="G15" s="3" t="s">
        <v>137</v>
      </c>
      <c r="H15" s="3" t="s">
        <v>86</v>
      </c>
      <c r="I15" s="3" t="s">
        <v>138</v>
      </c>
    </row>
    <row r="16" customFormat="false" ht="15" hidden="false" customHeight="false" outlineLevel="0" collapsed="false">
      <c r="B16" s="0" t="n">
        <v>0</v>
      </c>
      <c r="C16" s="37" t="s">
        <v>139</v>
      </c>
      <c r="E16" s="27" t="n">
        <f aca="false">IFERROR(D9,"")</f>
        <v>0</v>
      </c>
    </row>
    <row r="17" customFormat="false" ht="15" hidden="false" customHeight="false" outlineLevel="0" collapsed="false">
      <c r="B17" s="0" t="n">
        <v>1</v>
      </c>
      <c r="C17" s="25" t="str">
        <f aca="false">IF(D12="","",IF(1&gt;D12,"","Monthly Instalment "&amp;1))</f>
        <v/>
      </c>
      <c r="D17" s="38" t="str">
        <f aca="false">IFERROR(IF(D13="","",DATE(YEAR(D13),MONTH(D13)+1,DAY(D13))),"")</f>
        <v/>
      </c>
      <c r="E17" s="27" t="str">
        <f aca="false">IF(D10="","",IF(1&gt;D12,"",D10))</f>
        <v/>
      </c>
    </row>
    <row r="18" customFormat="false" ht="15" hidden="false" customHeight="false" outlineLevel="0" collapsed="false">
      <c r="B18" s="0" t="n">
        <v>2</v>
      </c>
      <c r="C18" s="25" t="str">
        <f aca="false">IF(D12="","",IF(2&gt;D12,"","Monthly Instalment "&amp;2))</f>
        <v/>
      </c>
      <c r="D18" s="38" t="str">
        <f aca="false">IFERROR(IF(D13="","",DATE(YEAR(D13),MONTH(D13)+2,DAY(D13))),"")</f>
        <v/>
      </c>
      <c r="E18" s="27" t="str">
        <f aca="false">IF(D10="","",IF(2&gt;D12,"",D10))</f>
        <v/>
      </c>
    </row>
    <row r="19" customFormat="false" ht="15" hidden="false" customHeight="false" outlineLevel="0" collapsed="false">
      <c r="B19" s="0" t="n">
        <v>3</v>
      </c>
      <c r="C19" s="25" t="str">
        <f aca="false">IF(D12="","",IF(3&gt;D12,"","Monthly Instalment "&amp;3))</f>
        <v/>
      </c>
      <c r="D19" s="38" t="str">
        <f aca="false">IFERROR(IF(D13="","",DATE(YEAR(D13),MONTH(D13)+3,DAY(D13))),"")</f>
        <v/>
      </c>
      <c r="E19" s="27" t="str">
        <f aca="false">IF(D10="","",IF(3&gt;D12,"",D10))</f>
        <v/>
      </c>
    </row>
    <row r="20" customFormat="false" ht="15" hidden="false" customHeight="false" outlineLevel="0" collapsed="false">
      <c r="B20" s="0" t="n">
        <v>4</v>
      </c>
      <c r="C20" s="25" t="str">
        <f aca="false">IF(D12="","",IF(4&gt;D12,"","Monthly Instalment "&amp;4))</f>
        <v/>
      </c>
      <c r="D20" s="38" t="str">
        <f aca="false">IFERROR(IF(D13="","",DATE(YEAR(D13),MONTH(D13)+4,DAY(D13))),"")</f>
        <v/>
      </c>
      <c r="E20" s="27" t="str">
        <f aca="false">IF(D10="","",IF(4&gt;D12,"",D10))</f>
        <v/>
      </c>
    </row>
    <row r="21" customFormat="false" ht="15" hidden="false" customHeight="false" outlineLevel="0" collapsed="false">
      <c r="B21" s="0" t="n">
        <v>5</v>
      </c>
      <c r="C21" s="25" t="str">
        <f aca="false">IF(D12="","",IF(5&gt;D12,"","Monthly Instalment "&amp;5))</f>
        <v/>
      </c>
      <c r="D21" s="38" t="str">
        <f aca="false">IFERROR(IF(D13="","",DATE(YEAR(D13),MONTH(D13)+5,DAY(D13))),"")</f>
        <v/>
      </c>
      <c r="E21" s="27" t="str">
        <f aca="false">IF(D10="","",IF(5&gt;D12,"",D10))</f>
        <v/>
      </c>
    </row>
    <row r="22" customFormat="false" ht="15" hidden="false" customHeight="false" outlineLevel="0" collapsed="false">
      <c r="B22" s="0" t="n">
        <v>6</v>
      </c>
      <c r="C22" s="25" t="str">
        <f aca="false">IF(D12="","",IF(6&gt;D12,"","Monthly Instalment "&amp;6))</f>
        <v/>
      </c>
      <c r="D22" s="38" t="str">
        <f aca="false">IFERROR(IF(D13="","",DATE(YEAR(D13),MONTH(D13)+6,DAY(D13))),"")</f>
        <v/>
      </c>
      <c r="E22" s="27" t="str">
        <f aca="false">IF(D10="","",IF(6&gt;D12,"",D10))</f>
        <v/>
      </c>
    </row>
    <row r="23" customFormat="false" ht="15" hidden="false" customHeight="false" outlineLevel="0" collapsed="false">
      <c r="B23" s="0" t="n">
        <v>7</v>
      </c>
      <c r="C23" s="25" t="str">
        <f aca="false">IF(D12="","",IF(7&gt;D12,"","Monthly Instalment "&amp;7))</f>
        <v/>
      </c>
      <c r="D23" s="38" t="str">
        <f aca="false">IFERROR(IF(D13="","",DATE(YEAR(D13),MONTH(D13)+7,DAY(D13))),"")</f>
        <v/>
      </c>
      <c r="E23" s="27" t="str">
        <f aca="false">IF(D10="","",IF(7&gt;D12,"",D10))</f>
        <v/>
      </c>
    </row>
    <row r="24" customFormat="false" ht="15" hidden="false" customHeight="false" outlineLevel="0" collapsed="false">
      <c r="B24" s="0" t="n">
        <v>8</v>
      </c>
      <c r="C24" s="25" t="str">
        <f aca="false">IF(D12="","",IF(8&gt;D12,"","Monthly Instalment "&amp;8))</f>
        <v/>
      </c>
      <c r="D24" s="38" t="str">
        <f aca="false">IFERROR(IF(D13="","",DATE(YEAR(D13),MONTH(D13)+8,DAY(D13))),"")</f>
        <v/>
      </c>
      <c r="E24" s="27" t="str">
        <f aca="false">IF(D10="","",IF(8&gt;D12,"",D10))</f>
        <v/>
      </c>
    </row>
    <row r="25" customFormat="false" ht="15" hidden="false" customHeight="false" outlineLevel="0" collapsed="false">
      <c r="B25" s="0" t="n">
        <v>9</v>
      </c>
      <c r="C25" s="25" t="str">
        <f aca="false">IF(D12="","",IF(9&gt;D12,"","Monthly Instalment "&amp;9))</f>
        <v/>
      </c>
      <c r="D25" s="38" t="str">
        <f aca="false">IFERROR(IF(D13="","",DATE(YEAR(D13),MONTH(D13)+9,DAY(D13))),"")</f>
        <v/>
      </c>
      <c r="E25" s="27" t="str">
        <f aca="false">IF(D10="","",IF(9&gt;D12,"",D10))</f>
        <v/>
      </c>
    </row>
    <row r="26" customFormat="false" ht="15" hidden="false" customHeight="false" outlineLevel="0" collapsed="false">
      <c r="B26" s="0" t="n">
        <v>10</v>
      </c>
      <c r="C26" s="25" t="str">
        <f aca="false">IF(D12="","",IF(10&gt;D12,"","Monthly Instalment "&amp;10))</f>
        <v/>
      </c>
      <c r="D26" s="38" t="str">
        <f aca="false">IFERROR(IF(D13="","",DATE(YEAR(D13),MONTH(D13)+10,DAY(D13))),"")</f>
        <v/>
      </c>
      <c r="E26" s="27" t="str">
        <f aca="false">IF(D10="","",IF(10&gt;D12,"",D10))</f>
        <v/>
      </c>
    </row>
    <row r="27" customFormat="false" ht="15" hidden="false" customHeight="false" outlineLevel="0" collapsed="false">
      <c r="B27" s="0" t="n">
        <v>11</v>
      </c>
      <c r="C27" s="25" t="str">
        <f aca="false">IF(D12="","",IF(11&gt;D12,"","Monthly Instalment "&amp;11))</f>
        <v/>
      </c>
      <c r="D27" s="38" t="str">
        <f aca="false">IFERROR(IF(D13="","",DATE(YEAR(D13),MONTH(D13)+11,DAY(D13))),"")</f>
        <v/>
      </c>
      <c r="E27" s="27" t="str">
        <f aca="false">IF(D10="","",IF(11&gt;D12,"",D10))</f>
        <v/>
      </c>
    </row>
    <row r="28" customFormat="false" ht="15" hidden="false" customHeight="false" outlineLevel="0" collapsed="false">
      <c r="B28" s="0" t="n">
        <v>12</v>
      </c>
      <c r="C28" s="25" t="str">
        <f aca="false">IF(D12="","",IF(12&gt;D12,"","Monthly Instalment "&amp;12))</f>
        <v/>
      </c>
      <c r="D28" s="38" t="str">
        <f aca="false">IFERROR(IF(D13="","",DATE(YEAR(D13),MONTH(D13)+12,DAY(D13))),"")</f>
        <v/>
      </c>
      <c r="E28" s="27" t="str">
        <f aca="false">IF(D10="","",IF(12&gt;D12,"",D10))</f>
        <v/>
      </c>
    </row>
    <row r="29" customFormat="false" ht="15" hidden="false" customHeight="false" outlineLevel="0" collapsed="false">
      <c r="B29" s="0" t="n">
        <v>13</v>
      </c>
      <c r="C29" s="25" t="str">
        <f aca="false">IF(D12="","",IF(13&gt;D12,"","Monthly Instalment "&amp;13))</f>
        <v/>
      </c>
      <c r="D29" s="38" t="str">
        <f aca="false">IFERROR(IF(D13="","",DATE(YEAR(D13),MONTH(D13)+13,DAY(D13))),"")</f>
        <v/>
      </c>
      <c r="E29" s="27" t="str">
        <f aca="false">IF(D10="","",IF(13&gt;D12,"",D10))</f>
        <v/>
      </c>
    </row>
    <row r="30" customFormat="false" ht="15" hidden="false" customHeight="false" outlineLevel="0" collapsed="false">
      <c r="B30" s="0" t="n">
        <v>14</v>
      </c>
      <c r="C30" s="25" t="str">
        <f aca="false">IF(D12="","",IF(14&gt;D12,"","Monthly Instalment "&amp;14))</f>
        <v/>
      </c>
      <c r="D30" s="38" t="str">
        <f aca="false">IFERROR(IF(D13="","",DATE(YEAR(D13),MONTH(D13)+14,DAY(D13))),"")</f>
        <v/>
      </c>
      <c r="E30" s="27" t="str">
        <f aca="false">IF(D10="","",IF(14&gt;D12,"",D10))</f>
        <v/>
      </c>
    </row>
    <row r="31" customFormat="false" ht="15" hidden="false" customHeight="false" outlineLevel="0" collapsed="false">
      <c r="B31" s="0" t="n">
        <v>15</v>
      </c>
      <c r="C31" s="25" t="str">
        <f aca="false">IF(D12="","",IF(15&gt;D12,"","Monthly Instalment "&amp;15))</f>
        <v/>
      </c>
      <c r="D31" s="38" t="str">
        <f aca="false">IFERROR(IF(D13="","",DATE(YEAR(D13),MONTH(D13)+15,DAY(D13))),"")</f>
        <v/>
      </c>
      <c r="E31" s="27" t="str">
        <f aca="false">IF(D10="","",IF(15&gt;D12,"",D10))</f>
        <v/>
      </c>
    </row>
    <row r="32" customFormat="false" ht="15" hidden="false" customHeight="false" outlineLevel="0" collapsed="false">
      <c r="B32" s="0" t="n">
        <v>16</v>
      </c>
      <c r="C32" s="25" t="str">
        <f aca="false">IF(D12="","",IF(16&gt;D12,"","Monthly Instalment "&amp;16))</f>
        <v/>
      </c>
      <c r="D32" s="38" t="str">
        <f aca="false">IFERROR(IF(D13="","",DATE(YEAR(D13),MONTH(D13)+16,DAY(D13))),"")</f>
        <v/>
      </c>
      <c r="E32" s="27" t="str">
        <f aca="false">IF(D10="","",IF(16&gt;D12,"",D10))</f>
        <v/>
      </c>
    </row>
    <row r="33" customFormat="false" ht="15" hidden="false" customHeight="false" outlineLevel="0" collapsed="false">
      <c r="B33" s="0" t="n">
        <v>17</v>
      </c>
      <c r="C33" s="25" t="str">
        <f aca="false">IF(D12="","",IF(17&gt;D12,"","Monthly Instalment "&amp;17))</f>
        <v/>
      </c>
      <c r="D33" s="38" t="str">
        <f aca="false">IFERROR(IF(D13="","",DATE(YEAR(D13),MONTH(D13)+17,DAY(D13))),"")</f>
        <v/>
      </c>
      <c r="E33" s="27" t="str">
        <f aca="false">IF(D10="","",IF(17&gt;D12,"",D10))</f>
        <v/>
      </c>
    </row>
    <row r="34" customFormat="false" ht="15" hidden="false" customHeight="false" outlineLevel="0" collapsed="false">
      <c r="B34" s="0" t="n">
        <v>18</v>
      </c>
      <c r="C34" s="25" t="str">
        <f aca="false">IF(D12="","",IF(18&gt;D12,"","Monthly Instalment "&amp;18))</f>
        <v/>
      </c>
      <c r="D34" s="38" t="str">
        <f aca="false">IFERROR(IF(D13="","",DATE(YEAR(D13),MONTH(D13)+18,DAY(D13))),"")</f>
        <v/>
      </c>
      <c r="E34" s="27" t="str">
        <f aca="false">IF(D10="","",IF(18&gt;D12,"",D10))</f>
        <v/>
      </c>
    </row>
    <row r="35" customFormat="false" ht="15" hidden="false" customHeight="false" outlineLevel="0" collapsed="false">
      <c r="B35" s="0" t="n">
        <v>19</v>
      </c>
      <c r="C35" s="25" t="str">
        <f aca="false">IF(D12="","",IF(19&gt;D12,"","Monthly Instalment "&amp;19))</f>
        <v/>
      </c>
      <c r="D35" s="38" t="str">
        <f aca="false">IFERROR(IF(D13="","",DATE(YEAR(D13),MONTH(D13)+19,DAY(D13))),"")</f>
        <v/>
      </c>
      <c r="E35" s="27" t="str">
        <f aca="false">IF(D10="","",IF(19&gt;D12,"",D10))</f>
        <v/>
      </c>
    </row>
    <row r="36" customFormat="false" ht="15" hidden="false" customHeight="false" outlineLevel="0" collapsed="false">
      <c r="B36" s="0" t="n">
        <v>20</v>
      </c>
      <c r="C36" s="25" t="str">
        <f aca="false">IF(D12="","",IF(20&gt;D12,"","Monthly Instalment "&amp;20))</f>
        <v/>
      </c>
      <c r="D36" s="38" t="str">
        <f aca="false">IFERROR(IF(D13="","",DATE(YEAR(D13),MONTH(D13)+20,DAY(D13))),"")</f>
        <v/>
      </c>
      <c r="E36" s="27" t="str">
        <f aca="false">IF(D10="","",IF(20&gt;D12,"",D10))</f>
        <v/>
      </c>
    </row>
    <row r="37" customFormat="false" ht="15" hidden="false" customHeight="false" outlineLevel="0" collapsed="false">
      <c r="B37" s="0" t="n">
        <v>21</v>
      </c>
      <c r="C37" s="25" t="str">
        <f aca="false">IF(D12="","",IF(21&gt;D12,"","Monthly Instalment "&amp;21))</f>
        <v/>
      </c>
      <c r="D37" s="38" t="str">
        <f aca="false">IFERROR(IF(D13="","",DATE(YEAR(D13),MONTH(D13)+21,DAY(D13))),"")</f>
        <v/>
      </c>
      <c r="E37" s="27" t="str">
        <f aca="false">IF(D10="","",IF(21&gt;D12,"",D10))</f>
        <v/>
      </c>
    </row>
    <row r="38" customFormat="false" ht="15" hidden="false" customHeight="false" outlineLevel="0" collapsed="false">
      <c r="B38" s="0" t="n">
        <v>22</v>
      </c>
      <c r="C38" s="25" t="str">
        <f aca="false">IF(D12="","",IF(22&gt;D12,"","Monthly Instalment "&amp;22))</f>
        <v/>
      </c>
      <c r="D38" s="38" t="str">
        <f aca="false">IFERROR(IF(D13="","",DATE(YEAR(D13),MONTH(D13)+22,DAY(D13))),"")</f>
        <v/>
      </c>
      <c r="E38" s="27" t="str">
        <f aca="false">IF(D10="","",IF(22&gt;D12,"",D10))</f>
        <v/>
      </c>
    </row>
    <row r="39" customFormat="false" ht="15" hidden="false" customHeight="false" outlineLevel="0" collapsed="false">
      <c r="B39" s="0" t="n">
        <v>23</v>
      </c>
      <c r="C39" s="25" t="str">
        <f aca="false">IF(D12="","",IF(23&gt;D12,"","Monthly Instalment "&amp;23))</f>
        <v/>
      </c>
      <c r="D39" s="38" t="str">
        <f aca="false">IFERROR(IF(D13="","",DATE(YEAR(D13),MONTH(D13)+23,DAY(D13))),"")</f>
        <v/>
      </c>
      <c r="E39" s="27" t="str">
        <f aca="false">IF(D10="","",IF(23&gt;D12,"",D10))</f>
        <v/>
      </c>
    </row>
    <row r="40" customFormat="false" ht="15" hidden="false" customHeight="false" outlineLevel="0" collapsed="false">
      <c r="B40" s="0" t="n">
        <v>24</v>
      </c>
      <c r="C40" s="25" t="str">
        <f aca="false">IF(D12="","",IF(24&gt;D12,"","Monthly Instalment "&amp;24))</f>
        <v/>
      </c>
      <c r="D40" s="38" t="str">
        <f aca="false">IFERROR(IF(D13="","",DATE(YEAR(D13),MONTH(D13)+24,DAY(D13))),"")</f>
        <v/>
      </c>
      <c r="E40" s="27" t="str">
        <f aca="false">IF(D10="","",IF(24&gt;D12,"",D10))</f>
        <v/>
      </c>
    </row>
    <row r="41" customFormat="false" ht="15" hidden="false" customHeight="false" outlineLevel="0" collapsed="false">
      <c r="B41" s="0" t="n">
        <v>25</v>
      </c>
      <c r="C41" s="25" t="str">
        <f aca="false">IF(D12="","",IF(25&gt;D12,"","Monthly Instalment "&amp;25))</f>
        <v/>
      </c>
      <c r="D41" s="38" t="str">
        <f aca="false">IFERROR(IF(D13="","",DATE(YEAR(D13),MONTH(D13)+25,DAY(D13))),"")</f>
        <v/>
      </c>
      <c r="E41" s="27" t="str">
        <f aca="false">IF(D10="","",IF(25&gt;D12,"",D10))</f>
        <v/>
      </c>
    </row>
    <row r="42" customFormat="false" ht="15" hidden="false" customHeight="false" outlineLevel="0" collapsed="false">
      <c r="B42" s="0" t="n">
        <v>26</v>
      </c>
      <c r="C42" s="25" t="str">
        <f aca="false">IF(D12="","",IF(26&gt;D12,"","Monthly Instalment "&amp;26))</f>
        <v/>
      </c>
      <c r="D42" s="38" t="str">
        <f aca="false">IFERROR(IF(D13="","",DATE(YEAR(D13),MONTH(D13)+26,DAY(D13))),"")</f>
        <v/>
      </c>
      <c r="E42" s="27" t="str">
        <f aca="false">IF(D10="","",IF(26&gt;D12,"",D10))</f>
        <v/>
      </c>
    </row>
    <row r="43" customFormat="false" ht="15" hidden="false" customHeight="false" outlineLevel="0" collapsed="false">
      <c r="B43" s="0" t="n">
        <v>27</v>
      </c>
      <c r="C43" s="25" t="str">
        <f aca="false">IF(D12="","",IF(27&gt;D12,"","Monthly Instalment "&amp;27))</f>
        <v/>
      </c>
      <c r="D43" s="38" t="str">
        <f aca="false">IFERROR(IF(D13="","",DATE(YEAR(D13),MONTH(D13)+27,DAY(D13))),"")</f>
        <v/>
      </c>
      <c r="E43" s="27" t="str">
        <f aca="false">IF(D10="","",IF(27&gt;D12,"",D10))</f>
        <v/>
      </c>
    </row>
    <row r="44" customFormat="false" ht="15" hidden="false" customHeight="false" outlineLevel="0" collapsed="false">
      <c r="B44" s="0" t="n">
        <v>28</v>
      </c>
      <c r="C44" s="25" t="str">
        <f aca="false">IF(D12="","",IF(28&gt;D12,"","Monthly Instalment "&amp;28))</f>
        <v/>
      </c>
      <c r="D44" s="38" t="str">
        <f aca="false">IFERROR(IF(D13="","",DATE(YEAR(D13),MONTH(D13)+28,DAY(D13))),"")</f>
        <v/>
      </c>
      <c r="E44" s="27" t="str">
        <f aca="false">IF(D10="","",IF(28&gt;D12,"",D10))</f>
        <v/>
      </c>
    </row>
    <row r="45" customFormat="false" ht="15" hidden="false" customHeight="false" outlineLevel="0" collapsed="false">
      <c r="B45" s="0" t="n">
        <v>29</v>
      </c>
      <c r="C45" s="25" t="str">
        <f aca="false">IF(D12="","",IF(29&gt;D12,"","Monthly Instalment "&amp;29))</f>
        <v/>
      </c>
      <c r="D45" s="38" t="str">
        <f aca="false">IFERROR(IF(D13="","",DATE(YEAR(D13),MONTH(D13)+29,DAY(D13))),"")</f>
        <v/>
      </c>
      <c r="E45" s="27" t="str">
        <f aca="false">IF(D10="","",IF(29&gt;D12,"",D10))</f>
        <v/>
      </c>
    </row>
    <row r="46" customFormat="false" ht="15" hidden="false" customHeight="false" outlineLevel="0" collapsed="false">
      <c r="B46" s="0" t="n">
        <v>30</v>
      </c>
      <c r="C46" s="25" t="str">
        <f aca="false">IF(D12="","",IF(30&gt;D12,"","Monthly Instalment "&amp;30))</f>
        <v/>
      </c>
      <c r="D46" s="38" t="str">
        <f aca="false">IFERROR(IF(D13="","",DATE(YEAR(D13),MONTH(D13)+30,DAY(D13))),"")</f>
        <v/>
      </c>
      <c r="E46" s="27" t="str">
        <f aca="false">IF(D10="","",IF(30&gt;D12,"",D10))</f>
        <v/>
      </c>
    </row>
    <row r="47" customFormat="false" ht="15" hidden="false" customHeight="false" outlineLevel="0" collapsed="false">
      <c r="B47" s="0" t="n">
        <v>31</v>
      </c>
      <c r="C47" s="25" t="str">
        <f aca="false">IF(D12="","",IF(31&gt;D12,"","Monthly Instalment "&amp;31))</f>
        <v/>
      </c>
      <c r="D47" s="38" t="str">
        <f aca="false">IFERROR(IF(D13="","",DATE(YEAR(D13),MONTH(D13)+31,DAY(D13))),"")</f>
        <v/>
      </c>
      <c r="E47" s="27" t="str">
        <f aca="false">IF(D10="","",IF(31&gt;D12,"",D10))</f>
        <v/>
      </c>
    </row>
    <row r="48" customFormat="false" ht="15" hidden="false" customHeight="false" outlineLevel="0" collapsed="false">
      <c r="B48" s="0" t="n">
        <v>32</v>
      </c>
      <c r="C48" s="25" t="str">
        <f aca="false">IF(D12="","",IF(32&gt;D12,"","Monthly Instalment "&amp;32))</f>
        <v/>
      </c>
      <c r="D48" s="38" t="str">
        <f aca="false">IFERROR(IF(D13="","",DATE(YEAR(D13),MONTH(D13)+32,DAY(D13))),"")</f>
        <v/>
      </c>
      <c r="E48" s="27" t="str">
        <f aca="false">IF(D10="","",IF(32&gt;D12,"",D10))</f>
        <v/>
      </c>
    </row>
    <row r="49" customFormat="false" ht="15" hidden="false" customHeight="false" outlineLevel="0" collapsed="false">
      <c r="B49" s="0" t="n">
        <v>33</v>
      </c>
      <c r="C49" s="25" t="str">
        <f aca="false">IF(D12="","",IF(33&gt;D12,"","Monthly Instalment "&amp;33))</f>
        <v/>
      </c>
      <c r="D49" s="38" t="str">
        <f aca="false">IFERROR(IF(D13="","",DATE(YEAR(D13),MONTH(D13)+33,DAY(D13))),"")</f>
        <v/>
      </c>
      <c r="E49" s="27" t="str">
        <f aca="false">IF(D10="","",IF(33&gt;D12,"",D10))</f>
        <v/>
      </c>
    </row>
    <row r="50" customFormat="false" ht="15" hidden="false" customHeight="false" outlineLevel="0" collapsed="false">
      <c r="B50" s="0" t="n">
        <v>34</v>
      </c>
      <c r="C50" s="25" t="str">
        <f aca="false">IF(D12="","",IF(34&gt;D12,"","Monthly Instalment "&amp;34))</f>
        <v/>
      </c>
      <c r="D50" s="38" t="str">
        <f aca="false">IFERROR(IF(D13="","",DATE(YEAR(D13),MONTH(D13)+34,DAY(D13))),"")</f>
        <v/>
      </c>
      <c r="E50" s="27" t="str">
        <f aca="false">IF(D10="","",IF(34&gt;D12,"",D10))</f>
        <v/>
      </c>
    </row>
    <row r="51" customFormat="false" ht="15" hidden="false" customHeight="false" outlineLevel="0" collapsed="false">
      <c r="B51" s="0" t="n">
        <v>35</v>
      </c>
      <c r="C51" s="25" t="str">
        <f aca="false">IF(D12="","",IF(35&gt;D12,"","Monthly Instalment "&amp;35))</f>
        <v/>
      </c>
      <c r="D51" s="38" t="str">
        <f aca="false">IFERROR(IF(D13="","",DATE(YEAR(D13),MONTH(D13)+35,DAY(D13))),"")</f>
        <v/>
      </c>
      <c r="E51" s="27" t="str">
        <f aca="false">IF(D10="","",IF(35&gt;D12,"",D10))</f>
        <v/>
      </c>
    </row>
    <row r="52" customFormat="false" ht="15" hidden="false" customHeight="false" outlineLevel="0" collapsed="false">
      <c r="B52" s="0" t="n">
        <v>36</v>
      </c>
      <c r="C52" s="25" t="str">
        <f aca="false">IF(D12="","",IF(36&gt;D12,"","Monthly Instalment "&amp;36))</f>
        <v/>
      </c>
      <c r="D52" s="38" t="str">
        <f aca="false">IFERROR(IF(D13="","",DATE(YEAR(D13),MONTH(D13)+36,DAY(D13))),"")</f>
        <v/>
      </c>
      <c r="E52" s="27" t="str">
        <f aca="false">IF(D10="","",IF(36&gt;D12,"",D10))</f>
        <v/>
      </c>
    </row>
    <row r="54" customFormat="false" ht="15" hidden="false" customHeight="false" outlineLevel="0" collapsed="false">
      <c r="C54" s="39" t="str">
        <f aca="false">IF(D11="","","Bubble Payment")</f>
        <v/>
      </c>
      <c r="E54" s="27" t="n">
        <f aca="false">IFERROR(D11,"")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D1457"/>
    <pageSetUpPr fitToPage="false"/>
  </sheetPr>
  <dimension ref="B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6"/>
    <col collapsed="false" customWidth="true" hidden="false" outlineLevel="0" max="5" min="4" style="0" width="22"/>
  </cols>
  <sheetData>
    <row r="1" customFormat="false" ht="49.5" hidden="false" customHeight="true" outlineLevel="0" collapsed="false">
      <c r="B1" s="1" t="s">
        <v>140</v>
      </c>
      <c r="C1" s="1"/>
      <c r="D1" s="1"/>
      <c r="E1" s="1"/>
    </row>
    <row r="2" customFormat="false" ht="21.75" hidden="false" customHeight="true" outlineLevel="0" collapsed="false">
      <c r="B2" s="40" t="s">
        <v>141</v>
      </c>
      <c r="C2" s="40"/>
      <c r="D2" s="40"/>
      <c r="E2" s="40"/>
    </row>
    <row r="4" customFormat="false" ht="15" hidden="false" customHeight="false" outlineLevel="0" collapsed="false">
      <c r="B4" s="41" t="s">
        <v>142</v>
      </c>
      <c r="C4" s="26"/>
    </row>
    <row r="6" customFormat="false" ht="15" hidden="false" customHeight="true" outlineLevel="0" collapsed="false">
      <c r="B6" s="42" t="s">
        <v>143</v>
      </c>
      <c r="C6" s="42"/>
      <c r="D6" s="42"/>
      <c r="E6" s="42"/>
    </row>
    <row r="7" customFormat="false" ht="19.5" hidden="false" customHeight="true" outlineLevel="0" collapsed="false">
      <c r="B7" s="43" t="s">
        <v>72</v>
      </c>
      <c r="C7" s="44" t="n">
        <f aca="false">IFERROR(INDEX('DATA ENTRY'!$C:$C,MATCH(C4,'DATA ENTRY'!$B:$B,0)),"")</f>
        <v>0</v>
      </c>
      <c r="D7" s="44"/>
      <c r="E7" s="44"/>
    </row>
    <row r="8" customFormat="false" ht="19.5" hidden="false" customHeight="true" outlineLevel="0" collapsed="false">
      <c r="B8" s="43" t="s">
        <v>73</v>
      </c>
      <c r="C8" s="44" t="n">
        <f aca="false">IFERROR(INDEX('DATA ENTRY'!$D:$D,MATCH(C4,'DATA ENTRY'!$B:$B,0)),"")</f>
        <v>0</v>
      </c>
      <c r="D8" s="44"/>
      <c r="E8" s="44"/>
    </row>
    <row r="9" customFormat="false" ht="19.5" hidden="false" customHeight="true" outlineLevel="0" collapsed="false">
      <c r="B9" s="43" t="s">
        <v>74</v>
      </c>
      <c r="C9" s="44" t="n">
        <f aca="false">IFERROR(INDEX('DATA ENTRY'!$E:$E,MATCH(C4,'DATA ENTRY'!$B:$B,0)),"")</f>
        <v>0</v>
      </c>
      <c r="D9" s="44"/>
      <c r="E9" s="44"/>
    </row>
    <row r="10" customFormat="false" ht="19.5" hidden="false" customHeight="true" outlineLevel="0" collapsed="false">
      <c r="B10" s="43" t="s">
        <v>144</v>
      </c>
      <c r="C10" s="44" t="n">
        <f aca="false">IFERROR(INDEX('DATA ENTRY'!$F:$F,MATCH(C4,'DATA ENTRY'!$B:$B,0)),"")</f>
        <v>0</v>
      </c>
      <c r="D10" s="44"/>
      <c r="E10" s="44"/>
    </row>
    <row r="11" customFormat="false" ht="19.5" hidden="false" customHeight="true" outlineLevel="0" collapsed="false">
      <c r="B11" s="43" t="s">
        <v>145</v>
      </c>
      <c r="C11" s="44" t="n">
        <f aca="false">IFERROR(INDEX('DATA ENTRY'!$G:$G,MATCH(C4,'DATA ENTRY'!$B:$B,0)),"")</f>
        <v>0</v>
      </c>
      <c r="D11" s="44"/>
      <c r="E11" s="44"/>
    </row>
    <row r="12" customFormat="false" ht="15" hidden="false" customHeight="true" outlineLevel="0" collapsed="false">
      <c r="B12" s="42" t="s">
        <v>146</v>
      </c>
      <c r="C12" s="42"/>
      <c r="D12" s="42"/>
      <c r="E12" s="42"/>
    </row>
    <row r="13" customFormat="false" ht="19.5" hidden="false" customHeight="true" outlineLevel="0" collapsed="false">
      <c r="B13" s="43" t="s">
        <v>88</v>
      </c>
      <c r="C13" s="44" t="n">
        <f aca="false">IFERROR(INDEX('DATA ENTRY'!$S:$S,MATCH(C4,'DATA ENTRY'!$B:$B,0)),"")</f>
        <v>0</v>
      </c>
      <c r="D13" s="44"/>
      <c r="E13" s="44"/>
    </row>
    <row r="14" customFormat="false" ht="19.5" hidden="false" customHeight="true" outlineLevel="0" collapsed="false">
      <c r="B14" s="43" t="s">
        <v>89</v>
      </c>
      <c r="C14" s="44" t="n">
        <f aca="false">IFERROR(INDEX('DATA ENTRY'!$T:$T,MATCH(C4,'DATA ENTRY'!$B:$B,0)),"")</f>
        <v>0</v>
      </c>
      <c r="D14" s="44"/>
      <c r="E14" s="44"/>
    </row>
    <row r="15" customFormat="false" ht="19.5" hidden="false" customHeight="true" outlineLevel="0" collapsed="false">
      <c r="B15" s="43" t="s">
        <v>91</v>
      </c>
      <c r="C15" s="44" t="n">
        <f aca="false">IFERROR(INDEX('DATA ENTRY'!$V:$V,MATCH(C4,'DATA ENTRY'!$B:$B,0)),"")</f>
        <v>0</v>
      </c>
      <c r="D15" s="44"/>
      <c r="E15" s="44"/>
    </row>
    <row r="16" customFormat="false" ht="19.5" hidden="false" customHeight="true" outlineLevel="0" collapsed="false">
      <c r="B16" s="43" t="s">
        <v>92</v>
      </c>
      <c r="C16" s="44" t="n">
        <f aca="false">IFERROR(INDEX('DATA ENTRY'!$W:$W,MATCH(C4,'DATA ENTRY'!$B:$B,0)),"")</f>
        <v>0</v>
      </c>
      <c r="D16" s="44"/>
      <c r="E16" s="44"/>
    </row>
    <row r="17" customFormat="false" ht="15" hidden="false" customHeight="true" outlineLevel="0" collapsed="false">
      <c r="B17" s="42" t="s">
        <v>147</v>
      </c>
      <c r="C17" s="42"/>
      <c r="D17" s="42"/>
      <c r="E17" s="42"/>
    </row>
    <row r="18" customFormat="false" ht="19.5" hidden="false" customHeight="true" outlineLevel="0" collapsed="false">
      <c r="B18" s="43" t="s">
        <v>79</v>
      </c>
      <c r="C18" s="44" t="str">
        <f aca="false">IFERROR(INDEX('DATA ENTRY'!$J:$J,MATCH(C4,'DATA ENTRY'!$B:$B,0)),"")</f>
        <v/>
      </c>
      <c r="D18" s="44"/>
      <c r="E18" s="44"/>
    </row>
    <row r="19" customFormat="false" ht="19.5" hidden="false" customHeight="true" outlineLevel="0" collapsed="false">
      <c r="B19" s="43" t="s">
        <v>148</v>
      </c>
      <c r="C19" s="44" t="n">
        <f aca="false">IFERROR(INDEX('DATA ENTRY'!$K:$K,MATCH(C4,'DATA ENTRY'!$B:$B,0)),"")</f>
        <v>0</v>
      </c>
      <c r="D19" s="44"/>
      <c r="E19" s="44"/>
    </row>
    <row r="20" customFormat="false" ht="19.5" hidden="false" customHeight="true" outlineLevel="0" collapsed="false">
      <c r="B20" s="43" t="s">
        <v>149</v>
      </c>
      <c r="C20" s="44" t="str">
        <f aca="false">IFERROR(INDEX('DATA ENTRY'!$M:$M,MATCH(C4,'DATA ENTRY'!$B:$B,0)),"")</f>
        <v/>
      </c>
      <c r="D20" s="44"/>
      <c r="E20" s="44"/>
    </row>
    <row r="21" customFormat="false" ht="19.5" hidden="false" customHeight="true" outlineLevel="0" collapsed="false">
      <c r="B21" s="43" t="s">
        <v>150</v>
      </c>
      <c r="C21" s="44" t="n">
        <f aca="false">IFERROR(INDEX('DATA ENTRY'!$L:$L,MATCH(C4,'DATA ENTRY'!$B:$B,0)),"")</f>
        <v>0</v>
      </c>
      <c r="D21" s="44"/>
      <c r="E21" s="44"/>
    </row>
    <row r="22" customFormat="false" ht="19.5" hidden="false" customHeight="true" outlineLevel="0" collapsed="false">
      <c r="B22" s="43" t="s">
        <v>83</v>
      </c>
      <c r="C22" s="44" t="n">
        <f aca="false">IFERROR(INDEX('DATA ENTRY'!$N:$N,MATCH(C4,'DATA ENTRY'!$B:$B,0)),"")</f>
        <v>0</v>
      </c>
      <c r="D22" s="44"/>
      <c r="E22" s="44"/>
    </row>
    <row r="23" customFormat="false" ht="15" hidden="false" customHeight="true" outlineLevel="0" collapsed="false">
      <c r="B23" s="42" t="s">
        <v>151</v>
      </c>
      <c r="C23" s="42"/>
      <c r="D23" s="42"/>
      <c r="E23" s="42"/>
    </row>
    <row r="24" customFormat="false" ht="19.5" hidden="false" customHeight="true" outlineLevel="0" collapsed="false">
      <c r="B24" s="43" t="s">
        <v>93</v>
      </c>
      <c r="C24" s="44" t="n">
        <f aca="false">IFERROR(INDEX('DATA ENTRY'!$X:$X,MATCH(C4,'DATA ENTRY'!$B:$B,0)),"")</f>
        <v>0</v>
      </c>
      <c r="D24" s="44"/>
      <c r="E24" s="44"/>
    </row>
    <row r="25" customFormat="false" ht="19.5" hidden="false" customHeight="true" outlineLevel="0" collapsed="false">
      <c r="B25" s="43" t="s">
        <v>94</v>
      </c>
      <c r="C25" s="44" t="n">
        <f aca="false">IFERROR(INDEX('DATA ENTRY'!$Y:$Y,MATCH(C4,'DATA ENTRY'!$B:$B,0)),"")</f>
        <v>0</v>
      </c>
      <c r="D25" s="44"/>
      <c r="E25" s="44"/>
    </row>
    <row r="26" customFormat="false" ht="19.5" hidden="false" customHeight="true" outlineLevel="0" collapsed="false">
      <c r="B26" s="43" t="s">
        <v>96</v>
      </c>
      <c r="C26" s="44" t="n">
        <f aca="false">IFERROR(INDEX('DATA ENTRY'!$AB:$AB,MATCH(C4,'DATA ENTRY'!$B:$B,0)),"")</f>
        <v>0</v>
      </c>
      <c r="D26" s="44"/>
      <c r="E26" s="44"/>
    </row>
    <row r="27" customFormat="false" ht="15" hidden="false" customHeight="true" outlineLevel="0" collapsed="false">
      <c r="B27" s="42" t="s">
        <v>152</v>
      </c>
      <c r="C27" s="42"/>
      <c r="D27" s="42"/>
      <c r="E27" s="42"/>
    </row>
    <row r="28" customFormat="false" ht="19.5" hidden="false" customHeight="true" outlineLevel="0" collapsed="false">
      <c r="B28" s="43" t="s">
        <v>108</v>
      </c>
      <c r="C28" s="44" t="n">
        <f aca="false">IFERROR(INDEX('DATA ENTRY'!$AO:$AO,MATCH(C4,'DATA ENTRY'!$B:$B,0)),"")</f>
        <v>0</v>
      </c>
      <c r="D28" s="44"/>
      <c r="E28" s="44"/>
    </row>
    <row r="29" customFormat="false" ht="19.5" hidden="false" customHeight="true" outlineLevel="0" collapsed="false">
      <c r="B29" s="43" t="s">
        <v>114</v>
      </c>
      <c r="C29" s="44" t="n">
        <f aca="false">IFERROR(INDEX('DATA ENTRY'!$AU:$AU,MATCH(C4,'DATA ENTRY'!$B:$B,0)),"")</f>
        <v>0</v>
      </c>
      <c r="D29" s="44"/>
      <c r="E29" s="44"/>
    </row>
    <row r="32" customFormat="false" ht="15" hidden="false" customHeight="false" outlineLevel="0" collapsed="false">
      <c r="B32" s="45" t="s">
        <v>153</v>
      </c>
      <c r="C32" s="45"/>
      <c r="D32" s="45" t="s">
        <v>154</v>
      </c>
      <c r="E32" s="45"/>
    </row>
    <row r="34" customFormat="false" ht="15" hidden="false" customHeight="false" outlineLevel="0" collapsed="false">
      <c r="B34" s="46" t="s">
        <v>155</v>
      </c>
      <c r="C34" s="46"/>
      <c r="D34" s="46"/>
      <c r="E34" s="46"/>
    </row>
  </sheetData>
  <mergeCells count="29">
    <mergeCell ref="B1:E1"/>
    <mergeCell ref="B2:E2"/>
    <mergeCell ref="B6:E6"/>
    <mergeCell ref="C7:E7"/>
    <mergeCell ref="C8:E8"/>
    <mergeCell ref="C9:E9"/>
    <mergeCell ref="C10:E10"/>
    <mergeCell ref="C11:E11"/>
    <mergeCell ref="B12:E12"/>
    <mergeCell ref="C13:E13"/>
    <mergeCell ref="C14:E14"/>
    <mergeCell ref="C15:E15"/>
    <mergeCell ref="C16:E16"/>
    <mergeCell ref="B17:E17"/>
    <mergeCell ref="C18:E18"/>
    <mergeCell ref="C19:E19"/>
    <mergeCell ref="C20:E20"/>
    <mergeCell ref="C21:E21"/>
    <mergeCell ref="C22:E22"/>
    <mergeCell ref="B23:E23"/>
    <mergeCell ref="C24:E24"/>
    <mergeCell ref="C25:E25"/>
    <mergeCell ref="C26:E26"/>
    <mergeCell ref="B27:E27"/>
    <mergeCell ref="C28:E28"/>
    <mergeCell ref="C29:E29"/>
    <mergeCell ref="B32:C32"/>
    <mergeCell ref="D32:E32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84C"/>
    <pageSetUpPr fitToPage="false"/>
  </sheetPr>
  <dimension ref="A1:L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6"/>
  </cols>
  <sheetData>
    <row r="1" customFormat="false" ht="49.5" hidden="false" customHeight="true" outlineLevel="0" collapsed="false">
      <c r="A1" s="47" t="s">
        <v>156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customFormat="false" ht="18" hidden="false" customHeight="true" outlineLevel="0" collapsed="false">
      <c r="A2" s="48" t="n">
        <f aca="true">TODAY()</f>
        <v>46116</v>
      </c>
    </row>
    <row r="4" customFormat="false" ht="18" hidden="false" customHeight="true" outlineLevel="0" collapsed="false">
      <c r="A4" s="13" t="s">
        <v>157</v>
      </c>
      <c r="B4" s="13"/>
      <c r="C4" s="13"/>
      <c r="D4" s="13" t="s">
        <v>158</v>
      </c>
      <c r="E4" s="13"/>
      <c r="F4" s="13"/>
      <c r="G4" s="13" t="s">
        <v>159</v>
      </c>
      <c r="H4" s="13"/>
      <c r="I4" s="13"/>
      <c r="J4" s="13" t="s">
        <v>160</v>
      </c>
      <c r="K4" s="13"/>
      <c r="L4" s="13"/>
    </row>
    <row r="5" customFormat="false" ht="30" hidden="false" customHeight="true" outlineLevel="0" collapsed="false">
      <c r="A5" s="49" t="n">
        <f aca="false">COUNTA('DATA ENTRY'!B4:B203)</f>
        <v>200</v>
      </c>
      <c r="B5" s="49"/>
      <c r="C5" s="49"/>
      <c r="D5" s="49" t="n">
        <f aca="false">IFERROR(SUM('DATA ENTRY'!J4:J203),0)</f>
        <v>0</v>
      </c>
      <c r="E5" s="49"/>
      <c r="F5" s="49"/>
      <c r="G5" s="49" t="n">
        <f aca="false">IFERROR(SUM('DATA ENTRY'!P4:P203),0)</f>
        <v>0</v>
      </c>
      <c r="H5" s="49"/>
      <c r="I5" s="49"/>
      <c r="J5" s="49" t="n">
        <f aca="false">IFERROR(SUM('DATA ENTRY'!Q4:Q203),0)</f>
        <v>0</v>
      </c>
      <c r="K5" s="49"/>
      <c r="L5" s="49"/>
    </row>
    <row r="7" customFormat="false" ht="18" hidden="false" customHeight="true" outlineLevel="0" collapsed="false">
      <c r="A7" s="13" t="s">
        <v>161</v>
      </c>
      <c r="B7" s="13"/>
      <c r="C7" s="13"/>
      <c r="D7" s="13" t="s">
        <v>162</v>
      </c>
      <c r="E7" s="13"/>
      <c r="F7" s="13"/>
      <c r="G7" s="13" t="s">
        <v>163</v>
      </c>
      <c r="H7" s="13"/>
      <c r="I7" s="13"/>
      <c r="J7" s="13" t="s">
        <v>164</v>
      </c>
      <c r="K7" s="13"/>
      <c r="L7" s="13"/>
    </row>
    <row r="8" customFormat="false" ht="30" hidden="false" customHeight="true" outlineLevel="0" collapsed="false">
      <c r="A8" s="49" t="n">
        <f aca="false">COUNTIF('DATA ENTRY'!R4:R203,"*Overdue*")</f>
        <v>0</v>
      </c>
      <c r="B8" s="49"/>
      <c r="C8" s="49"/>
      <c r="D8" s="49" t="n">
        <f aca="false">COUNTIF('DATA ENTRY'!R4:R203,"*Completed*")</f>
        <v>0</v>
      </c>
      <c r="E8" s="49"/>
      <c r="F8" s="49"/>
      <c r="G8" s="49" t="n">
        <f aca="false">COUNTIF('DATA ENTRY'!R4:R203,"*Active*")</f>
        <v>0</v>
      </c>
      <c r="H8" s="49"/>
      <c r="I8" s="49"/>
      <c r="J8" s="49" t="n">
        <f aca="false">COUNTIF('DATA ENTRY'!AO4:AO203,"Not Done")+COUNTIF('DATA ENTRY'!AO4:AO203,"Late")</f>
        <v>0</v>
      </c>
      <c r="K8" s="49"/>
      <c r="L8" s="49"/>
    </row>
    <row r="11" customFormat="false" ht="21.75" hidden="false" customHeight="true" outlineLevel="0" collapsed="false">
      <c r="A11" s="50" t="s">
        <v>165</v>
      </c>
      <c r="B11" s="50"/>
      <c r="C11" s="50"/>
      <c r="D11" s="50"/>
      <c r="E11" s="50"/>
      <c r="F11" s="50"/>
      <c r="H11" s="51" t="s">
        <v>166</v>
      </c>
      <c r="I11" s="51"/>
      <c r="J11" s="51"/>
      <c r="K11" s="51"/>
      <c r="L11" s="51"/>
    </row>
    <row r="12" customFormat="false" ht="15" hidden="false" customHeight="false" outlineLevel="0" collapsed="false">
      <c r="A12" s="22" t="s">
        <v>72</v>
      </c>
      <c r="B12" s="22" t="s">
        <v>167</v>
      </c>
      <c r="C12" s="22" t="s">
        <v>168</v>
      </c>
      <c r="D12" s="22" t="s">
        <v>169</v>
      </c>
      <c r="E12" s="22" t="s">
        <v>86</v>
      </c>
      <c r="F12" s="22" t="s">
        <v>170</v>
      </c>
      <c r="H12" s="22" t="s">
        <v>120</v>
      </c>
      <c r="I12" s="22" t="s">
        <v>171</v>
      </c>
      <c r="J12" s="22" t="s">
        <v>72</v>
      </c>
      <c r="K12" s="22" t="s">
        <v>172</v>
      </c>
      <c r="L12" s="22" t="s">
        <v>173</v>
      </c>
    </row>
    <row r="13" customFormat="false" ht="15" hidden="false" customHeight="false" outlineLevel="0" collapsed="false">
      <c r="A13" s="52" t="s">
        <v>12</v>
      </c>
      <c r="B13" s="53" t="n">
        <f aca="false">COUNTIF('DATA ENTRY'!C4:C203,SETTINGS!C5)</f>
        <v>0</v>
      </c>
      <c r="C13" s="54" t="n">
        <f aca="false">SUMIF('DATA ENTRY'!C4:C203,SETTINGS!C5,'DATA ENTRY'!J4:J203)</f>
        <v>0</v>
      </c>
      <c r="D13" s="54" t="n">
        <f aca="false">SUMIF('DATA ENTRY'!C4:C203,SETTINGS!C5,'DATA ENTRY'!P4:P203)</f>
        <v>0</v>
      </c>
      <c r="E13" s="54" t="n">
        <f aca="false">SUMIF('DATA ENTRY'!C4:C203,SETTINGS!C5,'DATA ENTRY'!Q4:Q203)</f>
        <v>0</v>
      </c>
      <c r="F13" s="53" t="n">
        <f aca="false">COUNTIFS('DATA ENTRY'!C4:C203,SETTINGS!C5,'DATA ENTRY'!R4:R203,"*Overdue*")</f>
        <v>0</v>
      </c>
      <c r="H13" s="55" t="str">
        <f aca="false">IFERROR(INDEX('DATA ENTRY'!$B:$B,SMALL(IF('DATA ENTRY'!$R$4:$R$203="🔴 Overdue",ROW('DATA ENTRY'!$R$4:$R$203)),1)),"")</f>
        <v/>
      </c>
      <c r="I13" s="55" t="n">
        <f aca="false">IFERROR(INDEX('DATA ENTRY'!$S:$S,SMALL(IF('DATA ENTRY'!$R$4:$R$203="🔴 Overdue",ROW('DATA ENTRY'!$R$4:$R$203)),1)),"")</f>
        <v>0</v>
      </c>
      <c r="J13" s="55" t="n">
        <f aca="false">IFERROR(INDEX('DATA ENTRY'!$C:$C,SMALL(IF('DATA ENTRY'!$R$4:$R$203="🔴 Overdue",ROW('DATA ENTRY'!$R$4:$R$203)),1)),"")</f>
        <v>0</v>
      </c>
      <c r="K13" s="56" t="str">
        <f aca="false">IFERROR(INDEX('DATA ENTRY'!$Q:$Q,SMALL(IF('DATA ENTRY'!$R$4:$R$203="🔴 Overdue",ROW('DATA ENTRY'!$R$4:$R$203)),1)),"")</f>
        <v/>
      </c>
      <c r="L13" s="55"/>
    </row>
    <row r="14" customFormat="false" ht="15" hidden="false" customHeight="false" outlineLevel="0" collapsed="false">
      <c r="A14" s="52" t="s">
        <v>20</v>
      </c>
      <c r="B14" s="53" t="n">
        <f aca="false">COUNTIF('DATA ENTRY'!C4:C203,SETTINGS!C6)</f>
        <v>0</v>
      </c>
      <c r="C14" s="54" t="n">
        <f aca="false">SUMIF('DATA ENTRY'!C4:C203,SETTINGS!C6,'DATA ENTRY'!J4:J203)</f>
        <v>0</v>
      </c>
      <c r="D14" s="54" t="n">
        <f aca="false">SUMIF('DATA ENTRY'!C4:C203,SETTINGS!C6,'DATA ENTRY'!P4:P203)</f>
        <v>0</v>
      </c>
      <c r="E14" s="54" t="n">
        <f aca="false">SUMIF('DATA ENTRY'!C4:C203,SETTINGS!C6,'DATA ENTRY'!Q4:Q203)</f>
        <v>0</v>
      </c>
      <c r="F14" s="53" t="n">
        <f aca="false">COUNTIFS('DATA ENTRY'!C4:C203,SETTINGS!C6,'DATA ENTRY'!R4:R203,"*Overdue*")</f>
        <v>0</v>
      </c>
      <c r="H14" s="55" t="str">
        <f aca="false">IFERROR(INDEX('DATA ENTRY'!$B:$B,SMALL(IF('DATA ENTRY'!$R$4:$R$203="🔴 Overdue",ROW('DATA ENTRY'!$R$4:$R$203)),2)),"")</f>
        <v/>
      </c>
      <c r="I14" s="55" t="str">
        <f aca="false">IFERROR(INDEX('DATA ENTRY'!$S:$S,SMALL(IF('DATA ENTRY'!$R$4:$R$203="🔴 Overdue",ROW('DATA ENTRY'!$R$4:$R$203)),2)),"")</f>
        <v/>
      </c>
      <c r="J14" s="55" t="str">
        <f aca="false">IFERROR(INDEX('DATA ENTRY'!$C:$C,SMALL(IF('DATA ENTRY'!$R$4:$R$203="🔴 Overdue",ROW('DATA ENTRY'!$R$4:$R$203)),2)),"")</f>
        <v/>
      </c>
      <c r="K14" s="56" t="str">
        <f aca="false">IFERROR(INDEX('DATA ENTRY'!$Q:$Q,SMALL(IF('DATA ENTRY'!$R$4:$R$203="🔴 Overdue",ROW('DATA ENTRY'!$R$4:$R$203)),2)),"")</f>
        <v/>
      </c>
      <c r="L14" s="55"/>
    </row>
    <row r="15" customFormat="false" ht="15" hidden="false" customHeight="false" outlineLevel="0" collapsed="false">
      <c r="A15" s="52" t="s">
        <v>26</v>
      </c>
      <c r="B15" s="53" t="n">
        <f aca="false">COUNTIF('DATA ENTRY'!C4:C203,SETTINGS!C7)</f>
        <v>0</v>
      </c>
      <c r="C15" s="54" t="n">
        <f aca="false">SUMIF('DATA ENTRY'!C4:C203,SETTINGS!C7,'DATA ENTRY'!J4:J203)</f>
        <v>0</v>
      </c>
      <c r="D15" s="54" t="n">
        <f aca="false">SUMIF('DATA ENTRY'!C4:C203,SETTINGS!C7,'DATA ENTRY'!P4:P203)</f>
        <v>0</v>
      </c>
      <c r="E15" s="54" t="n">
        <f aca="false">SUMIF('DATA ENTRY'!C4:C203,SETTINGS!C7,'DATA ENTRY'!Q4:Q203)</f>
        <v>0</v>
      </c>
      <c r="F15" s="53" t="n">
        <f aca="false">COUNTIFS('DATA ENTRY'!C4:C203,SETTINGS!C7,'DATA ENTRY'!R4:R203,"*Overdue*")</f>
        <v>0</v>
      </c>
      <c r="H15" s="55" t="str">
        <f aca="false">IFERROR(INDEX('DATA ENTRY'!$B:$B,SMALL(IF('DATA ENTRY'!$R$4:$R$203="🔴 Overdue",ROW('DATA ENTRY'!$R$4:$R$203)),3)),"")</f>
        <v/>
      </c>
      <c r="I15" s="55" t="str">
        <f aca="false">IFERROR(INDEX('DATA ENTRY'!$S:$S,SMALL(IF('DATA ENTRY'!$R$4:$R$203="🔴 Overdue",ROW('DATA ENTRY'!$R$4:$R$203)),3)),"")</f>
        <v/>
      </c>
      <c r="J15" s="55" t="str">
        <f aca="false">IFERROR(INDEX('DATA ENTRY'!$C:$C,SMALL(IF('DATA ENTRY'!$R$4:$R$203="🔴 Overdue",ROW('DATA ENTRY'!$R$4:$R$203)),3)),"")</f>
        <v/>
      </c>
      <c r="K15" s="56" t="str">
        <f aca="false">IFERROR(INDEX('DATA ENTRY'!$Q:$Q,SMALL(IF('DATA ENTRY'!$R$4:$R$203="🔴 Overdue",ROW('DATA ENTRY'!$R$4:$R$203)),3)),"")</f>
        <v/>
      </c>
      <c r="L15" s="55"/>
    </row>
    <row r="16" customFormat="false" ht="15" hidden="false" customHeight="false" outlineLevel="0" collapsed="false">
      <c r="A16" s="52" t="s">
        <v>32</v>
      </c>
      <c r="B16" s="53" t="n">
        <f aca="false">COUNTIF('DATA ENTRY'!C4:C203,SETTINGS!C8)</f>
        <v>0</v>
      </c>
      <c r="C16" s="54" t="n">
        <f aca="false">SUMIF('DATA ENTRY'!C4:C203,SETTINGS!C8,'DATA ENTRY'!J4:J203)</f>
        <v>0</v>
      </c>
      <c r="D16" s="54" t="n">
        <f aca="false">SUMIF('DATA ENTRY'!C4:C203,SETTINGS!C8,'DATA ENTRY'!P4:P203)</f>
        <v>0</v>
      </c>
      <c r="E16" s="54" t="n">
        <f aca="false">SUMIF('DATA ENTRY'!C4:C203,SETTINGS!C8,'DATA ENTRY'!Q4:Q203)</f>
        <v>0</v>
      </c>
      <c r="F16" s="53" t="n">
        <f aca="false">COUNTIFS('DATA ENTRY'!C4:C203,SETTINGS!C8,'DATA ENTRY'!R4:R203,"*Overdue*")</f>
        <v>0</v>
      </c>
      <c r="H16" s="55" t="str">
        <f aca="false">IFERROR(INDEX('DATA ENTRY'!$B:$B,SMALL(IF('DATA ENTRY'!$R$4:$R$203="🔴 Overdue",ROW('DATA ENTRY'!$R$4:$R$203)),4)),"")</f>
        <v/>
      </c>
      <c r="I16" s="55" t="str">
        <f aca="false">IFERROR(INDEX('DATA ENTRY'!$S:$S,SMALL(IF('DATA ENTRY'!$R$4:$R$203="🔴 Overdue",ROW('DATA ENTRY'!$R$4:$R$203)),4)),"")</f>
        <v/>
      </c>
      <c r="J16" s="55" t="str">
        <f aca="false">IFERROR(INDEX('DATA ENTRY'!$C:$C,SMALL(IF('DATA ENTRY'!$R$4:$R$203="🔴 Overdue",ROW('DATA ENTRY'!$R$4:$R$203)),4)),"")</f>
        <v/>
      </c>
      <c r="K16" s="56" t="str">
        <f aca="false">IFERROR(INDEX('DATA ENTRY'!$Q:$Q,SMALL(IF('DATA ENTRY'!$R$4:$R$203="🔴 Overdue",ROW('DATA ENTRY'!$R$4:$R$203)),4)),"")</f>
        <v/>
      </c>
      <c r="L16" s="55"/>
    </row>
    <row r="17" customFormat="false" ht="15" hidden="false" customHeight="false" outlineLevel="0" collapsed="false">
      <c r="A17" s="52" t="s">
        <v>39</v>
      </c>
      <c r="B17" s="53" t="n">
        <f aca="false">COUNTIF('DATA ENTRY'!C4:C203,SETTINGS!C9)</f>
        <v>0</v>
      </c>
      <c r="C17" s="54" t="n">
        <f aca="false">SUMIF('DATA ENTRY'!C4:C203,SETTINGS!C9,'DATA ENTRY'!J4:J203)</f>
        <v>0</v>
      </c>
      <c r="D17" s="54" t="n">
        <f aca="false">SUMIF('DATA ENTRY'!C4:C203,SETTINGS!C9,'DATA ENTRY'!P4:P203)</f>
        <v>0</v>
      </c>
      <c r="E17" s="54" t="n">
        <f aca="false">SUMIF('DATA ENTRY'!C4:C203,SETTINGS!C9,'DATA ENTRY'!Q4:Q203)</f>
        <v>0</v>
      </c>
      <c r="F17" s="53" t="n">
        <f aca="false">COUNTIFS('DATA ENTRY'!C4:C203,SETTINGS!C9,'DATA ENTRY'!R4:R203,"*Overdue*")</f>
        <v>0</v>
      </c>
      <c r="H17" s="55" t="str">
        <f aca="false">IFERROR(INDEX('DATA ENTRY'!$B:$B,SMALL(IF('DATA ENTRY'!$R$4:$R$203="🔴 Overdue",ROW('DATA ENTRY'!$R$4:$R$203)),5)),"")</f>
        <v/>
      </c>
      <c r="I17" s="55" t="str">
        <f aca="false">IFERROR(INDEX('DATA ENTRY'!$S:$S,SMALL(IF('DATA ENTRY'!$R$4:$R$203="🔴 Overdue",ROW('DATA ENTRY'!$R$4:$R$203)),5)),"")</f>
        <v/>
      </c>
      <c r="J17" s="55" t="str">
        <f aca="false">IFERROR(INDEX('DATA ENTRY'!$C:$C,SMALL(IF('DATA ENTRY'!$R$4:$R$203="🔴 Overdue",ROW('DATA ENTRY'!$R$4:$R$203)),5)),"")</f>
        <v/>
      </c>
      <c r="K17" s="56" t="str">
        <f aca="false">IFERROR(INDEX('DATA ENTRY'!$Q:$Q,SMALL(IF('DATA ENTRY'!$R$4:$R$203="🔴 Overdue",ROW('DATA ENTRY'!$R$4:$R$203)),5)),"")</f>
        <v/>
      </c>
      <c r="L17" s="55"/>
    </row>
    <row r="18" customFormat="false" ht="15" hidden="false" customHeight="false" outlineLevel="0" collapsed="false">
      <c r="H18" s="55" t="str">
        <f aca="false">IFERROR(INDEX('DATA ENTRY'!$B:$B,SMALL(IF('DATA ENTRY'!$R$4:$R$203="🔴 Overdue",ROW('DATA ENTRY'!$R$4:$R$203)),6)),"")</f>
        <v/>
      </c>
      <c r="I18" s="55" t="str">
        <f aca="false">IFERROR(INDEX('DATA ENTRY'!$S:$S,SMALL(IF('DATA ENTRY'!$R$4:$R$203="🔴 Overdue",ROW('DATA ENTRY'!$R$4:$R$203)),6)),"")</f>
        <v/>
      </c>
      <c r="J18" s="55" t="str">
        <f aca="false">IFERROR(INDEX('DATA ENTRY'!$C:$C,SMALL(IF('DATA ENTRY'!$R$4:$R$203="🔴 Overdue",ROW('DATA ENTRY'!$R$4:$R$203)),6)),"")</f>
        <v/>
      </c>
      <c r="K18" s="56" t="str">
        <f aca="false">IFERROR(INDEX('DATA ENTRY'!$Q:$Q,SMALL(IF('DATA ENTRY'!$R$4:$R$203="🔴 Overdue",ROW('DATA ENTRY'!$R$4:$R$203)),6)),"")</f>
        <v/>
      </c>
      <c r="L18" s="55"/>
    </row>
    <row r="19" customFormat="false" ht="15" hidden="false" customHeight="false" outlineLevel="0" collapsed="false">
      <c r="H19" s="55" t="str">
        <f aca="false">IFERROR(INDEX('DATA ENTRY'!$B:$B,SMALL(IF('DATA ENTRY'!$R$4:$R$203="🔴 Overdue",ROW('DATA ENTRY'!$R$4:$R$203)),7)),"")</f>
        <v/>
      </c>
      <c r="I19" s="55" t="str">
        <f aca="false">IFERROR(INDEX('DATA ENTRY'!$S:$S,SMALL(IF('DATA ENTRY'!$R$4:$R$203="🔴 Overdue",ROW('DATA ENTRY'!$R$4:$R$203)),7)),"")</f>
        <v/>
      </c>
      <c r="J19" s="55" t="str">
        <f aca="false">IFERROR(INDEX('DATA ENTRY'!$C:$C,SMALL(IF('DATA ENTRY'!$R$4:$R$203="🔴 Overdue",ROW('DATA ENTRY'!$R$4:$R$203)),7)),"")</f>
        <v/>
      </c>
      <c r="K19" s="56" t="str">
        <f aca="false">IFERROR(INDEX('DATA ENTRY'!$Q:$Q,SMALL(IF('DATA ENTRY'!$R$4:$R$203="🔴 Overdue",ROW('DATA ENTRY'!$R$4:$R$203)),7)),"")</f>
        <v/>
      </c>
      <c r="L19" s="55"/>
    </row>
    <row r="20" customFormat="false" ht="15" hidden="false" customHeight="false" outlineLevel="0" collapsed="false">
      <c r="H20" s="55" t="str">
        <f aca="false">IFERROR(INDEX('DATA ENTRY'!$B:$B,SMALL(IF('DATA ENTRY'!$R$4:$R$203="🔴 Overdue",ROW('DATA ENTRY'!$R$4:$R$203)),8)),"")</f>
        <v/>
      </c>
      <c r="I20" s="55" t="str">
        <f aca="false">IFERROR(INDEX('DATA ENTRY'!$S:$S,SMALL(IF('DATA ENTRY'!$R$4:$R$203="🔴 Overdue",ROW('DATA ENTRY'!$R$4:$R$203)),8)),"")</f>
        <v/>
      </c>
      <c r="J20" s="55" t="str">
        <f aca="false">IFERROR(INDEX('DATA ENTRY'!$C:$C,SMALL(IF('DATA ENTRY'!$R$4:$R$203="🔴 Overdue",ROW('DATA ENTRY'!$R$4:$R$203)),8)),"")</f>
        <v/>
      </c>
      <c r="K20" s="56" t="str">
        <f aca="false">IFERROR(INDEX('DATA ENTRY'!$Q:$Q,SMALL(IF('DATA ENTRY'!$R$4:$R$203="🔴 Overdue",ROW('DATA ENTRY'!$R$4:$R$203)),8)),"")</f>
        <v/>
      </c>
      <c r="L20" s="55"/>
    </row>
    <row r="21" customFormat="false" ht="21.75" hidden="false" customHeight="true" outlineLevel="0" collapsed="false">
      <c r="H21" s="55" t="str">
        <f aca="false">IFERROR(INDEX('DATA ENTRY'!$B:$B,SMALL(IF('DATA ENTRY'!$R$4:$R$203="🔴 Overdue",ROW('DATA ENTRY'!$R$4:$R$203)),9)),"")</f>
        <v/>
      </c>
      <c r="I21" s="55" t="str">
        <f aca="false">IFERROR(INDEX('DATA ENTRY'!$S:$S,SMALL(IF('DATA ENTRY'!$R$4:$R$203="🔴 Overdue",ROW('DATA ENTRY'!$R$4:$R$203)),9)),"")</f>
        <v/>
      </c>
      <c r="J21" s="55" t="str">
        <f aca="false">IFERROR(INDEX('DATA ENTRY'!$C:$C,SMALL(IF('DATA ENTRY'!$R$4:$R$203="🔴 Overdue",ROW('DATA ENTRY'!$R$4:$R$203)),9)),"")</f>
        <v/>
      </c>
      <c r="K21" s="56" t="str">
        <f aca="false">IFERROR(INDEX('DATA ENTRY'!$Q:$Q,SMALL(IF('DATA ENTRY'!$R$4:$R$203="🔴 Overdue",ROW('DATA ENTRY'!$R$4:$R$203)),9)),"")</f>
        <v/>
      </c>
      <c r="L21" s="55"/>
    </row>
    <row r="22" customFormat="false" ht="15" hidden="false" customHeight="false" outlineLevel="0" collapsed="false">
      <c r="H22" s="55" t="str">
        <f aca="false">IFERROR(INDEX('DATA ENTRY'!$B:$B,SMALL(IF('DATA ENTRY'!$R$4:$R$203="🔴 Overdue",ROW('DATA ENTRY'!$R$4:$R$203)),10)),"")</f>
        <v/>
      </c>
      <c r="I22" s="55" t="str">
        <f aca="false">IFERROR(INDEX('DATA ENTRY'!$S:$S,SMALL(IF('DATA ENTRY'!$R$4:$R$203="🔴 Overdue",ROW('DATA ENTRY'!$R$4:$R$203)),10)),"")</f>
        <v/>
      </c>
      <c r="J22" s="55" t="str">
        <f aca="false">IFERROR(INDEX('DATA ENTRY'!$C:$C,SMALL(IF('DATA ENTRY'!$R$4:$R$203="🔴 Overdue",ROW('DATA ENTRY'!$R$4:$R$203)),10)),"")</f>
        <v/>
      </c>
      <c r="K22" s="56" t="str">
        <f aca="false">IFERROR(INDEX('DATA ENTRY'!$Q:$Q,SMALL(IF('DATA ENTRY'!$R$4:$R$203="🔴 Overdue",ROW('DATA ENTRY'!$R$4:$R$203)),10)),"")</f>
        <v/>
      </c>
      <c r="L22" s="55"/>
    </row>
  </sheetData>
  <mergeCells count="19">
    <mergeCell ref="A1:L1"/>
    <mergeCell ref="A4:C4"/>
    <mergeCell ref="D4:F4"/>
    <mergeCell ref="G4:I4"/>
    <mergeCell ref="J4:L4"/>
    <mergeCell ref="A5:C5"/>
    <mergeCell ref="D5:F5"/>
    <mergeCell ref="G5:I5"/>
    <mergeCell ref="J5:L5"/>
    <mergeCell ref="A7:C7"/>
    <mergeCell ref="D7:F7"/>
    <mergeCell ref="G7:I7"/>
    <mergeCell ref="J7:L7"/>
    <mergeCell ref="A8:C8"/>
    <mergeCell ref="D8:F8"/>
    <mergeCell ref="G8:I8"/>
    <mergeCell ref="J8:L8"/>
    <mergeCell ref="A11:F11"/>
    <mergeCell ref="H11:L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2026-04-04T15:11:17Z</dcterms:created>
  <dc:creator>openpyxl</dc:creator>
  <dc:description/>
  <dc:language>en-US</dc:language>
  <cp:lastModifiedBy/>
  <dcterms:modified xsi:type="dcterms:W3CDTF">2026-04-04T15:11:20Z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